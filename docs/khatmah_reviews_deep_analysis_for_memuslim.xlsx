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0aad1fd89944fa" /></Relationships>
</file>

<file path=xl/workbook.xml><?xml version="1.0" encoding="utf-8"?>
<x:workbook xmlns:x="http://schemas.openxmlformats.org/spreadsheetml/2006/main">
  <x:sheets>
    <x:sheet xmlns:r="http://schemas.openxmlformats.org/officeDocument/2006/relationships" name="الملخص" sheetId="1" r:id="Rf6475424efd248a5"/>
    <x:sheet xmlns:r="http://schemas.openxmlformats.org/officeDocument/2006/relationships" name="المراجعات" sheetId="2" r:id="R188fd2e5e4fa414d"/>
    <x:sheet xmlns:r="http://schemas.openxmlformats.org/officeDocument/2006/relationships" name="الموضوعات" sheetId="3" r:id="R59e440889ab8476b"/>
    <x:sheet xmlns:r="http://schemas.openxmlformats.org/officeDocument/2006/relationships" name="خطة MeMuslim" sheetId="4" r:id="R992e002a303a47df"/>
    <x:sheet xmlns:r="http://schemas.openxmlformats.org/officeDocument/2006/relationships" name="المصادر" sheetId="5" r:id="Rc709b89aed7047e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10">
    <x:font>
      <x:sz val="11"/>
      <x:name val="Carlito"/>
    </x:font>
    <x:font>
      <x:b/>
      <x:sz val="11"/>
      <x:color rgb="FFFFFFFF"/>
      <x:name val="Carlito"/>
    </x:font>
    <x:font>
      <x:b/>
      <x:sz val="20"/>
      <x:color rgb="FFFFFFFF"/>
      <x:name val="Carlito"/>
    </x:font>
    <x:font>
      <x:sz val="11"/>
      <x:color rgb="FF6B5200"/>
      <x:name val="Carlito"/>
    </x:font>
    <x:font>
      <x:b/>
      <x:sz val="11"/>
      <x:color rgb="FF1F2937"/>
      <x:name val="Carlito"/>
    </x:font>
    <x:font>
      <x:b/>
      <x:sz val="20"/>
      <x:color rgb="FF0B5D3B"/>
      <x:name val="Carlito"/>
    </x:font>
    <x:font>
      <x:b/>
      <x:sz val="13"/>
      <x:color rgb="FFFFFFFF"/>
      <x:name val="Carlito"/>
    </x:font>
    <x:font>
      <x:sz val="12"/>
      <x:color rgb="FF1F2937"/>
      <x:name val="Carlito"/>
    </x:font>
    <x:font>
      <x:sz val="11"/>
      <x:color rgb="FF1F2937"/>
      <x:name val="Carlito"/>
    </x:font>
    <x:font>
      <x:b/>
      <x:sz val="18"/>
      <x:color rgb="FFFFFFFF"/>
      <x:name val="Carlito"/>
    </x:font>
  </x:fonts>
  <x:fills count="11">
    <x:fill>
      <x:patternFill patternType="none"/>
    </x:fill>
    <x:fill>
      <x:patternFill patternType="gray125"/>
    </x:fill>
    <x:fill>
      <x:patternFill patternType="solid">
        <x:fgColor rgb="FF0B5D3B"/>
      </x:patternFill>
    </x:fill>
    <x:fill>
      <x:patternFill patternType="solid">
        <x:fgColor rgb="FFFFF9E6"/>
      </x:patternFill>
    </x:fill>
    <x:fill>
      <x:patternFill patternType="solid">
        <x:fgColor rgb="FFF3F4F6"/>
      </x:patternFill>
    </x:fill>
    <x:fill>
      <x:patternFill patternType="solid">
        <x:fgColor rgb="FFF4FBF7"/>
      </x:patternFill>
    </x:fill>
    <x:fill>
      <x:patternFill patternType="solid">
        <x:fgColor rgb="FF1DAB61"/>
      </x:patternFill>
    </x:fill>
    <x:fill>
      <x:patternFill patternType="solid">
        <x:fgColor rgb="FFFFFFFF"/>
      </x:patternFill>
    </x:fill>
    <x:fill>
      <x:patternFill patternType="solid">
        <x:fgColor rgb="FFEAF8F0"/>
      </x:patternFill>
    </x:fill>
    <x:fill>
      <x:patternFill patternType="solid">
        <x:fgColor rgb="FFFDECEC"/>
      </x:patternFill>
    </x:fill>
    <x:fill>
      <x:patternFill patternType="solid">
        <x:fgColor rgb="FFEAF2FF"/>
      </x:patternFill>
    </x:fill>
  </x:fills>
  <x:borders count="2">
    <x:border/>
    <x:border/>
  </x:borders>
  <x:cellStyleXfs count="1">
    <x:xf numFmtId="0" fontId="0" fillId="0" borderId="0"/>
  </x:cellStyleXfs>
  <x:cellXfs count="1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horizontal="righ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right" wrapText="1"/>
    </x:xf>
    <x:xf numFmtId="0" fontId="3" fillId="3" borderId="0" xfId="0" applyNumberFormat="1" applyFont="1" applyFill="1" applyBorder="1" applyAlignment="1">
      <x:alignment horizontal="righ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right" wrapText="1"/>
    </x:xf>
    <x:xf numFmtId="0" fontId="3" fillId="3" borderId="1" xfId="0" applyNumberFormat="1" applyFont="1" applyFill="1" applyBorder="1" applyAlignment="1">
      <x:alignment horizontal="righ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right"/>
    </x:xf>
    <x:xf numFmtId="0" fontId="6" fillId="6" borderId="0" xfId="0" applyNumberFormat="1" applyFont="1" applyFill="1" applyBorder="1" applyAlignment="1">
      <x:alignment horizontal="right" vertical="center"/>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right"/>
    </x:xf>
    <x:xf numFmtId="0" fontId="6" fillId="6" borderId="1" xfId="0" applyNumberFormat="1" applyFont="1" applyFill="1" applyBorder="1" applyAlignment="1">
      <x:alignment horizontal="right" vertical="center"/>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horizontal="right" wrapText="1"/>
    </x:xf>
    <x:xf numFmtId="0" fontId="7" fillId="7" borderId="0" xfId="0" applyNumberFormat="1" applyFont="1" applyFill="1" applyBorder="1" applyAlignment="1">
      <x:alignment horizontal="right" vertical="center"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horizontal="right" wrapText="1"/>
    </x:xf>
    <x:xf numFmtId="0" fontId="7" fillId="7" borderId="1" xfId="0" applyNumberFormat="1" applyFont="1" applyFill="1" applyBorder="1" applyAlignment="1">
      <x:alignment horizontal="right" vertical="center"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horizontal="right" wrapText="1"/>
    </x:xf>
    <x:xf numFmtId="0" fontId="8" fillId="8" borderId="0" xfId="0" applyNumberFormat="1" applyFont="1" applyFill="1" applyBorder="1" applyAlignment="1">
      <x:alignment horizontal="right" vertical="top" wrapText="1"/>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horizontal="right" wrapText="1"/>
    </x:xf>
    <x:xf numFmtId="0" fontId="8" fillId="8" borderId="1" xfId="0" applyNumberFormat="1" applyFont="1" applyFill="1" applyBorder="1" applyAlignment="1">
      <x:alignment horizontal="righ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horizontal="right" wrapText="1"/>
    </x:xf>
    <x:xf numFmtId="0" fontId="8" fillId="9" borderId="0" xfId="0" applyNumberFormat="1" applyFont="1" applyFill="1" applyBorder="1" applyAlignment="1">
      <x:alignment horizontal="right" vertical="top" wrapText="1"/>
    </x:xf>
    <x:xf numFmtId="0" fontId="0" fillId="9" borderId="1" xfId="0" applyNumberFormat="1" applyFont="1" applyFill="1" applyBorder="1"/>
    <x:xf numFmtId="0" fontId="8" fillId="9" borderId="1" xfId="0" applyNumberFormat="1" applyFont="1" applyFill="1" applyBorder="1"/>
    <x:xf numFmtId="0" fontId="8" fillId="9" borderId="1" xfId="0" applyNumberFormat="1" applyFont="1" applyFill="1" applyBorder="1" applyAlignment="1">
      <x:alignment wrapText="1"/>
    </x:xf>
    <x:xf numFmtId="0" fontId="8" fillId="9" borderId="1" xfId="0" applyNumberFormat="1" applyFont="1" applyFill="1" applyBorder="1" applyAlignment="1">
      <x:alignment horizontal="right" wrapText="1"/>
    </x:xf>
    <x:xf numFmtId="0" fontId="8" fillId="9" borderId="1" xfId="0" applyNumberFormat="1" applyFont="1" applyFill="1" applyBorder="1" applyAlignment="1">
      <x:alignment horizontal="right" vertical="top"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horizontal="right" wrapText="1"/>
    </x:xf>
    <x:xf numFmtId="0" fontId="8" fillId="10" borderId="0" xfId="0" applyNumberFormat="1" applyFont="1" applyFill="1" applyBorder="1" applyAlignment="1">
      <x:alignment horizontal="right" vertical="top" wrapText="1"/>
    </x:xf>
    <x:xf numFmtId="0" fontId="0" fillId="10" borderId="1" xfId="0" applyNumberFormat="1" applyFont="1" applyFill="1" applyBorder="1"/>
    <x:xf numFmtId="0" fontId="8" fillId="10" borderId="1" xfId="0" applyNumberFormat="1" applyFont="1" applyFill="1" applyBorder="1"/>
    <x:xf numFmtId="0" fontId="8" fillId="10" borderId="1" xfId="0" applyNumberFormat="1" applyFont="1" applyFill="1" applyBorder="1" applyAlignment="1">
      <x:alignment wrapText="1"/>
    </x:xf>
    <x:xf numFmtId="0" fontId="8" fillId="10" borderId="1" xfId="0" applyNumberFormat="1" applyFont="1" applyFill="1" applyBorder="1" applyAlignment="1">
      <x:alignment horizontal="right" wrapText="1"/>
    </x:xf>
    <x:xf numFmtId="0" fontId="8" fillId="10" borderId="1" xfId="0" applyNumberFormat="1" applyFont="1" applyFill="1" applyBorder="1" applyAlignment="1">
      <x:alignment horizontal="right" vertical="top" wrapText="1"/>
    </x:xf>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0" xfId="0" applyNumberFormat="1" applyFont="1" applyFill="1" applyBorder="1" applyAlignment="1">
      <x:alignment horizontal="center" vertical="center"/>
    </x:xf>
    <x:xf numFmtId="0" fontId="9" fillId="2" borderId="1" xfId="0" applyNumberFormat="1" applyFont="1" applyFill="1" applyBorder="1"/>
    <x:xf numFmtId="0" fontId="9" fillId="2" borderId="1" xfId="0" applyNumberFormat="1" applyFont="1" applyFill="1" applyBorder="1" applyAlignment="1">
      <x:alignment horizontal="center"/>
    </x:xf>
    <x:xf numFmtId="0" fontId="9" fillId="2" borderId="1" xfId="0" applyNumberFormat="1" applyFont="1" applyFill="1" applyBorder="1" applyAlignment="1">
      <x:alignment horizontal="center" vertical="center"/>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1" fillId="6" borderId="0" xfId="0" applyNumberFormat="1" applyFont="1" applyFill="1" applyBorder="1" applyAlignment="1">
      <x:alignment horizontal="right"/>
    </x:xf>
    <x:xf numFmtId="0" fontId="1" fillId="6" borderId="1" xfId="0" applyNumberFormat="1" applyFont="1" applyFill="1" applyBorder="1" applyAlignment="1">
      <x:alignment horizontal="right"/>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right" wrapText="1"/>
    </x:xf>
    <x:xf numFmtId="0" fontId="8" fillId="5" borderId="0" xfId="0" applyNumberFormat="1" applyFont="1" applyFill="1" applyBorder="1" applyAlignment="1">
      <x:alignment horizontal="right" vertical="top" wrapText="1"/>
    </x:xf>
    <x:xf numFmtId="0" fontId="8" fillId="5" borderId="1" xfId="0" applyNumberFormat="1" applyFont="1" applyFill="1" applyBorder="1"/>
    <x:xf numFmtId="0" fontId="8" fillId="5" borderId="1" xfId="0" applyNumberFormat="1" applyFont="1" applyFill="1" applyBorder="1" applyAlignment="1">
      <x:alignment wrapText="1"/>
    </x:xf>
    <x:xf numFmtId="0" fontId="8" fillId="5" borderId="1" xfId="0" applyNumberFormat="1" applyFont="1" applyFill="1" applyBorder="1" applyAlignment="1">
      <x:alignment horizontal="right" wrapText="1"/>
    </x:xf>
    <x:xf numFmtId="0" fontId="8" fillId="5" borderId="1" xfId="0" applyNumberFormat="1" applyFont="1" applyFill="1" applyBorder="1" applyAlignment="1">
      <x:alignment horizontal="right" vertical="top" wrapText="1"/>
    </x:xf>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1" xfId="0" applyNumberFormat="1" applyFont="1" applyFill="1" applyBorder="1" applyAlignment="1">
      <x:alignment horizontal="center"/>
    </x:xf>
    <x:xf numFmtId="0" fontId="1" fillId="6" borderId="1" xfId="0" applyNumberFormat="1" applyFont="1" applyFill="1" applyBorder="1" applyAlignment="1">
      <x:alignment horizontal="center" vertical="center"/>
    </x:xf>
  </x:cellXfs>
  <x:cellStyles count="1">
    <x:cellStyle name="Normal" xfId="0"/>
  </x:cellStyles>
  <x:dxfs count="12">
    <x:dxf>
      <x:font>
        <x:b/>
        <x:color rgb="FFC62828"/>
      </x:font>
      <x:fill>
        <x:patternFill patternType="solid">
          <x:bgColor rgb="FFFDECEC"/>
        </x:patternFill>
      </x:fill>
    </x:dxf>
    <x:dxf>
      <x:font>
        <x:b/>
        <x:color rgb="FF0B5D3B"/>
      </x:font>
      <x:fill>
        <x:patternFill patternType="solid">
          <x:bgColor rgb="FFEAF8F0"/>
        </x:patternFill>
      </x:fill>
    </x:dxf>
    <x:dxf>
      <x:font>
        <x:b/>
        <x:color rgb="FFC62828"/>
      </x:font>
      <x:fill>
        <x:patternFill patternType="solid">
          <x:bgColor rgb="FFFDECEC"/>
        </x:patternFill>
      </x:fill>
    </x:dxf>
    <x:dxf>
      <x:font>
        <x:b/>
        <x:color rgb="FFA85600"/>
      </x:font>
      <x:fill>
        <x:patternFill patternType="solid">
          <x:bgColor rgb="FFFFF4E5"/>
        </x:patternFill>
      </x:fill>
    </x:dxf>
    <x:dxf>
      <x:font>
        <x:b/>
        <x:color rgb="FF2F6FEB"/>
      </x:font>
      <x:fill>
        <x:patternFill patternType="solid">
          <x:bgColor rgb="FFEAF2FF"/>
        </x:patternFill>
      </x:fill>
    </x:dxf>
    <x:dxf>
      <x:font>
        <x:b/>
        <x:color rgb="FF7A5B00"/>
      </x:font>
      <x:fill>
        <x:patternFill patternType="solid">
          <x:bgColor rgb="FFFFF9DB"/>
        </x:patternFill>
      </x:fill>
    </x:dxf>
    <x:dxf>
      <x:font>
        <x:b/>
        <x:color rgb="FFC62828"/>
      </x:font>
      <x:fill>
        <x:patternFill patternType="solid">
          <x:bgColor rgb="FFFDECEC"/>
        </x:patternFill>
      </x:fill>
    </x:dxf>
    <x:dxf>
      <x:font>
        <x:b/>
        <x:color rgb="FFA85600"/>
      </x:font>
      <x:fill>
        <x:patternFill patternType="solid">
          <x:bgColor rgb="FFFFF4E5"/>
        </x:patternFill>
      </x:fill>
    </x:dxf>
    <x:dxf>
      <x:font>
        <x:b/>
        <x:color rgb="FF2F6FEB"/>
      </x:font>
      <x:fill>
        <x:patternFill patternType="solid">
          <x:bgColor rgb="FFEAF2FF"/>
        </x:patternFill>
      </x:fill>
    </x:dxf>
    <x:dxf>
      <x:font>
        <x:b/>
        <x:color rgb="FFC62828"/>
      </x:font>
      <x:fill>
        <x:patternFill patternType="solid">
          <x:bgColor rgb="FFFDECEC"/>
        </x:patternFill>
      </x:fill>
    </x:dxf>
    <x:dxf>
      <x:font>
        <x:b/>
        <x:color rgb="FFA85600"/>
      </x:font>
      <x:fill>
        <x:patternFill patternType="solid">
          <x:bgColor rgb="FFFFF4E5"/>
        </x:patternFill>
      </x:fill>
    </x:dxf>
    <x:dxf>
      <x:font>
        <x:b/>
        <x:color rgb="FF2F6FEB"/>
      </x:font>
      <x:fill>
        <x:patternFill patternType="solid">
          <x:bgColor rgb="FFEAF2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f234caa9294aa3" /><Relationship Type="http://schemas.openxmlformats.org/officeDocument/2006/relationships/theme" Target="/xl/theme/theme1.xml" Id="Rc266adc133df42fa" /><Relationship Type="http://schemas.openxmlformats.org/officeDocument/2006/relationships/sharedStrings" Target="/xl/sharedStrings.xml" Id="Rab8b30d29c5a4f78" /><Relationship Type="http://schemas.openxmlformats.org/officeDocument/2006/relationships/worksheet" Target="/xl/worksheets/sheet1.xml" Id="Rf6475424efd248a5" /><Relationship Type="http://schemas.openxmlformats.org/officeDocument/2006/relationships/worksheet" Target="/xl/worksheets/sheet2.xml" Id="R188fd2e5e4fa414d" /><Relationship Type="http://schemas.openxmlformats.org/officeDocument/2006/relationships/worksheet" Target="/xl/worksheets/sheet3.xml" Id="R59e440889ab8476b" /><Relationship Type="http://schemas.openxmlformats.org/officeDocument/2006/relationships/worksheet" Target="/xl/worksheets/sheet4.xml" Id="R992e002a303a47df" /><Relationship Type="http://schemas.openxmlformats.org/officeDocument/2006/relationships/worksheet" Target="/xl/worksheets/sheet5.xml" Id="Rc709b89aed7047e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973876ded6c443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أكثر الموضوعات ظهورًا في العينة</a:t>
            </a:r>
          </a:p>
        </c:rich>
      </c:tx>
      <c:overlay val="0"/>
    </c:title>
    <c:autoTitleDeleted val="0"/>
    <c:plotArea>
      <c:layout/>
      <c:barChart>
        <c:barDir val="col"/>
        <c:varyColors val="0"/>
        <c:ser>
          <c:idx val="0"/>
          <c:order val="0"/>
          <c:tx>
            <c:v>عدد المراجعات</c:v>
          </c:tx>
          <c:cat>
            <c:strRef>
              <c:f>'الموضوعات'!$A$5:$A$14</c:f>
              <c:strCache>
                <c:ptCount val="0"/>
              </c:strCache>
            </c:strRef>
          </c:cat>
          <c:val>
            <c:numRef>
              <c:f>'الموضوعات'!$B$5:$B$14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73876ded6c4438"/>
        </a:graphicData>
      </a:graphic>
    </xdr:graphicFrame>
    <xdr:clientData/>
  </xdr:twoCellAnchor>
</xdr:wsDr>
</file>

<file path=xl/tables/table1.xml><?xml version="1.0" encoding="utf-8"?>
<x:table xmlns:x="http://schemas.openxmlformats.org/spreadsheetml/2006/main" id="1" name="ReviewsTable" displayName="ReviewsTable" ref="A1:O60" headerRowCount="1">
  <x:tableColumns count="15">
    <x:tableColumn id="1" name="م"/>
    <x:tableColumn id="2" name="المراجع"/>
    <x:tableColumn id="3" name="التاريخ"/>
    <x:tableColumn id="4" name="النجوم"/>
    <x:tableColumn id="5" name="نص المراجعة الأصلي"/>
    <x:tableColumn id="6" name="اللغة"/>
    <x:tableColumn id="7" name="اكتمال النص"/>
    <x:tableColumn id="8" name="اتجاه النص"/>
    <x:tableColumn id="9" name="توافق النص مع النجوم"/>
    <x:tableColumn id="10" name="الموضوع الرئيسي"/>
    <x:tableColumn id="11" name="موضوع ثانوي"/>
    <x:tableColumn id="12" name="الأهمية لـ MeMuslim"/>
    <x:tableColumn id="13" name="ما نتعلمه لـ MeMuslim"/>
    <x:tableColumn id="14" name="الإجراء المقترح"/>
    <x:tableColumn id="15" name="مصدر الصورة"/>
  </x:tableColumns>
  <x:tableStyleInfo name="TableStyleMedium2" showRowStripes="1"/>
</x:table>
</file>

<file path=xl/tables/table2.xml><?xml version="1.0" encoding="utf-8"?>
<x:table xmlns:x="http://schemas.openxmlformats.org/spreadsheetml/2006/main" id="2" name="ThemesTable" displayName="ThemesTable" ref="A4:F24" headerRowCount="1">
  <x:tableColumns count="6">
    <x:tableColumn id="1" name="الموضوع"/>
    <x:tableColumn id="2" name="عدد المراجعات"/>
    <x:tableColumn id="3" name="النسبة من العينة"/>
    <x:tableColumn id="4" name="طبيعة الإشارة"/>
    <x:tableColumn id="5" name="الأولوية"/>
    <x:tableColumn id="6" name="المعنى لـ MeMuslim"/>
  </x:tableColumns>
  <x:tableStyleInfo name="TableStyleMedium2" showRowStripes="1"/>
</x:table>
</file>

<file path=xl/tables/table3.xml><?xml version="1.0" encoding="utf-8"?>
<x:table xmlns:x="http://schemas.openxmlformats.org/spreadsheetml/2006/main" id="3" name="RoadmapTable" displayName="RoadmapTable" ref="A4:G14" headerRowCount="1">
  <x:tableColumns count="7">
    <x:tableColumn id="1" name="الأولوية"/>
    <x:tableColumn id="2" name="المبادرة"/>
    <x:tableColumn id="3" name="الدليل من المراجعات"/>
    <x:tableColumn id="4" name="النطاق المقترح"/>
    <x:tableColumn id="5" name="معيار القبول"/>
    <x:tableColumn id="6" name="مؤشر النجاح"/>
    <x:tableColumn id="7" name="الأثر المتوقع"/>
  </x:tableColumns>
  <x:tableStyleInfo name="TableStyleMedium2" showRowStripes="1"/>
</x:table>
</file>

<file path=xl/tables/table4.xml><?xml version="1.0" encoding="utf-8"?>
<x:table xmlns:x="http://schemas.openxmlformats.org/spreadsheetml/2006/main" id="4" name="SourcesTable" displayName="SourcesTable" ref="A4:D23" headerRowCount="1">
  <x:tableColumns count="4">
    <x:tableColumn id="1" name="المعرف"/>
    <x:tableColumn id="2" name="اسم الملف"/>
    <x:tableColumn id="3" name="النطاق الظاهر"/>
    <x:tableColumn id="4" name="ملاحظات"/>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2a6963493240be" /></Relationships>
</file>

<file path=xl/worksheets/_rels/sheet3.xml.rels>&#65279;<?xml version="1.0" encoding="utf-8"?><Relationships xmlns="http://schemas.openxmlformats.org/package/2006/relationships"><Relationship Type="http://schemas.openxmlformats.org/officeDocument/2006/relationships/drawing" Target="/xl/drawings/drawing1.xml" Id="Rccfcde12ed72423e" /><Relationship Type="http://schemas.openxmlformats.org/officeDocument/2006/relationships/table" Target="/xl/tables/table2.xml" Id="R693d5b4bd99943a0" /></Relationships>
</file>

<file path=xl/worksheets/_rels/sheet4.xml.rels>&#65279;<?xml version="1.0" encoding="utf-8"?><Relationships xmlns="http://schemas.openxmlformats.org/package/2006/relationships"><Relationship Type="http://schemas.openxmlformats.org/officeDocument/2006/relationships/table" Target="/xl/tables/table3.xml" Id="R92cbf83248324ea8" /></Relationships>
</file>

<file path=xl/worksheets/_rels/sheet5.xml.rels>&#65279;<?xml version="1.0" encoding="utf-8"?><Relationships xmlns="http://schemas.openxmlformats.org/package/2006/relationships"><Relationship Type="http://schemas.openxmlformats.org/officeDocument/2006/relationships/table" Target="/xl/tables/table4.xml" Id="R60687e64aea44f51" /></Relationships>
</file>

<file path=xl/worksheets/sheet1.xml><?xml version="1.0" encoding="utf-8"?>
<x:worksheet xmlns:x="http://schemas.openxmlformats.org/spreadsheetml/2006/main">
  <x:sheetFormatPr defaultRowHeight="15"/>
  <x:cols>
    <x:col min="1" max="1" width="1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4" hidden="0" customWidth="1"/>
  </x:cols>
  <x:sheetData>
    <x:row r="1">
      <x:c r="A1" s="26" t="str">
        <x:v>تحليل مراجعات تطبيق ختمة والاستفادة منها في MeMuslim (تلاوة سابقًا)</x:v>
      </x:c>
      <x:c r="B1" s="26"/>
      <x:c r="C1" s="26"/>
      <x:c r="D1" s="26"/>
      <x:c r="E1" s="26"/>
      <x:c r="F1" s="26"/>
      <x:c r="G1" s="26"/>
      <x:c r="H1" s="26"/>
      <x:c r="I1" s="26"/>
      <x:c r="J1" s="26"/>
      <x:c r="K1" s="26"/>
      <x:c r="L1" s="26"/>
      <x:c r="M1" s="26"/>
      <x:c r="N1" s="26"/>
    </x:row>
    <x:row r="2">
      <x:c r="A2" s="26"/>
      <x:c r="B2" s="26"/>
      <x:c r="C2" s="26"/>
      <x:c r="D2" s="26"/>
      <x:c r="E2" s="26"/>
      <x:c r="F2" s="26"/>
      <x:c r="G2" s="26"/>
      <x:c r="H2" s="26"/>
      <x:c r="I2" s="26"/>
      <x:c r="J2" s="26"/>
      <x:c r="K2" s="26"/>
      <x:c r="L2" s="26"/>
      <x:c r="M2" s="26"/>
      <x:c r="N2" s="26"/>
    </x:row>
    <x:row r="4">
      <x:c r="A4" s="34" t="str">
        <x:v>ملاحظة منهجية مهمة: هذا الملف يحلل 59 مراجعة نصية ظاهرة في لقطات الشاشة المرسلة، وتبدو العينة منتقاة من تقييمات 5 نجوم ونجمة واحدة؛ لذلك لا تمثل التوزيع الحقيقي لكل مراجعات ختمة. قيمة العينة هنا هي اكتشاف أنماط المنتج والمخاطر، لا تقدير نسبة رضا السوق.</x:v>
      </x:c>
      <x:c r="B4" s="34"/>
      <x:c r="C4" s="34"/>
      <x:c r="D4" s="34"/>
      <x:c r="E4" s="34"/>
      <x:c r="F4" s="34"/>
      <x:c r="G4" s="34"/>
      <x:c r="H4" s="34"/>
      <x:c r="I4" s="34"/>
      <x:c r="J4" s="34"/>
      <x:c r="K4" s="34"/>
      <x:c r="L4" s="34"/>
      <x:c r="M4" s="34"/>
      <x:c r="N4" s="34"/>
    </x:row>
    <x:row r="5">
      <x:c r="A5" s="34"/>
      <x:c r="B5" s="34"/>
      <x:c r="C5" s="34"/>
      <x:c r="D5" s="34"/>
      <x:c r="E5" s="34"/>
      <x:c r="F5" s="34"/>
      <x:c r="G5" s="34"/>
      <x:c r="H5" s="34"/>
      <x:c r="I5" s="34"/>
      <x:c r="J5" s="34"/>
      <x:c r="K5" s="34"/>
      <x:c r="L5" s="34"/>
      <x:c r="M5" s="34"/>
      <x:c r="N5" s="34"/>
    </x:row>
    <x:row r="6">
      <x:c r="A6" s="34"/>
      <x:c r="B6" s="34"/>
      <x:c r="C6" s="34"/>
      <x:c r="D6" s="34"/>
      <x:c r="E6" s="34"/>
      <x:c r="F6" s="34"/>
      <x:c r="G6" s="34"/>
      <x:c r="H6" s="34"/>
      <x:c r="I6" s="34"/>
      <x:c r="J6" s="34"/>
      <x:c r="K6" s="34"/>
      <x:c r="L6" s="34"/>
      <x:c r="M6" s="34"/>
      <x:c r="N6" s="34"/>
    </x:row>
    <x:row r="8">
      <x:c r="A8" s="44" t="str">
        <x:v>إجمالي المراجعات</x:v>
      </x:c>
      <x:c r="B8" s="44"/>
      <x:c r="C8" s="44" t="str">
        <x:v>5 نجوم</x:v>
      </x:c>
      <x:c r="D8" s="44"/>
      <x:c r="E8" s="44" t="str">
        <x:v>نجمة واحدة</x:v>
      </x:c>
      <x:c r="F8" s="44"/>
      <x:c r="G8" s="44" t="str">
        <x:v>نص إيجابي مع نجمة واحدة</x:v>
      </x:c>
      <x:c r="H8" s="44"/>
      <x:c r="I8" s="44" t="str">
        <x:v>بلاغات نزاهة المحتوى</x:v>
      </x:c>
      <x:c r="J8" s="44"/>
      <x:c r="K8" s="44" t="str">
        <x:v>مشاكل الأذان/الموقع</x:v>
      </x:c>
      <x:c r="L8" s="44"/>
      <x:c r="M8" s="44" t="str">
        <x:v>طلبات الروايات</x:v>
      </x:c>
      <x:c r="N8" s="44"/>
    </x:row>
    <x:row r="9">
      <x:c r="A9" s="53" t="n">
        <x:f>COUNTA('المراجعات'!A2:A60)</x:f>
        <x:v>59</x:v>
      </x:c>
      <x:c r="B9" s="53"/>
      <x:c r="C9" s="53" t="n">
        <x:f>COUNTIF('المراجعات'!D2:D60,5)</x:f>
        <x:v>19</x:v>
      </x:c>
      <x:c r="D9" s="53"/>
      <x:c r="E9" s="53" t="n">
        <x:f>COUNTIF('المراجعات'!D2:D60,1)</x:f>
        <x:v>40</x:v>
      </x:c>
      <x:c r="F9" s="53"/>
      <x:c r="G9" s="53" t="n">
        <x:f>COUNTIF('المراجعات'!I2:I60,"غير متوافق (نص إيجابي مع نجمة واحدة)")</x:f>
        <x:v>5</x:v>
      </x:c>
      <x:c r="H9" s="53"/>
      <x:c r="I9" s="53" t="n">
        <x:f>COUNTIF('المراجعات'!J2:J60,"سلامة نص القرآن والبيانات الدينية")</x:f>
        <x:v>7</x:v>
      </x:c>
      <x:c r="J9" s="53"/>
      <x:c r="K9" s="53" t="n">
        <x:f>COUNTIF('المراجعات'!J2:J60,"الأذان ومواقيت الصلاة")+COUNTIF('المراجعات'!J2:J60,"الموقع والصلاحيات")</x:f>
        <x:v>11</x:v>
      </x:c>
      <x:c r="L9" s="53"/>
      <x:c r="M9" s="53" t="n">
        <x:f>COUNTIF('المراجعات'!J2:J60,"القراءات والروايات")</x:f>
        <x:v>3</x:v>
      </x:c>
      <x:c r="N9" s="53"/>
    </x:row>
    <x:row r="10">
      <x:c r="A10" s="53"/>
      <x:c r="B10" s="53"/>
      <x:c r="C10" s="53"/>
      <x:c r="D10" s="53"/>
      <x:c r="E10" s="53"/>
      <x:c r="F10" s="53"/>
      <x:c r="G10" s="53"/>
      <x:c r="H10" s="53"/>
      <x:c r="I10" s="53"/>
      <x:c r="J10" s="53"/>
      <x:c r="K10" s="53"/>
      <x:c r="L10" s="53"/>
      <x:c r="M10" s="53"/>
      <x:c r="N10" s="53"/>
    </x:row>
    <x:row r="12">
      <x:c r="A12" s="61" t="str">
        <x:v>الحكم التنفيذي</x:v>
      </x:c>
      <x:c r="B12" s="61"/>
      <x:c r="C12" s="61"/>
      <x:c r="D12" s="61"/>
      <x:c r="E12" s="61"/>
      <x:c r="F12" s="61"/>
      <x:c r="G12" s="61"/>
      <x:c r="H12" s="61"/>
      <x:c r="I12" s="61"/>
      <x:c r="J12" s="61"/>
      <x:c r="K12" s="61"/>
      <x:c r="L12" s="61"/>
      <x:c r="M12" s="61"/>
      <x:c r="N12" s="61"/>
    </x:row>
    <x:row r="13">
      <x:c r="A13" s="70" t="str">
        <x:v>نجاح ختمة قائم أساسًا على حلقة عادة واضحة: خطة ختمة → ورد يومي → تذكير → إنجاز → تقدم. الشمولية مفيدة، لكنها ليست المحرك الحقيقي للاحتفاظ. وفي المقابل، أكبر فرص MeMuslim هي تقديم تجربة أحدث وأنظف مع موثوقية أعلى. لكن هناك شرط غير قابل للتفاوض: نزاهة القرآن والمحتوى الديني، ودقة الأذان، يجب أن يعاملا كأنظمة حرجة. أي خطأ فيهما قد يلغي قيمة كل تحسينات UI والميزات الأخرى.</x:v>
      </x:c>
      <x:c r="B13" s="70"/>
      <x:c r="C13" s="70"/>
      <x:c r="D13" s="70"/>
      <x:c r="E13" s="70"/>
      <x:c r="F13" s="70"/>
      <x:c r="G13" s="70"/>
      <x:c r="H13" s="70"/>
      <x:c r="I13" s="70"/>
      <x:c r="J13" s="70"/>
      <x:c r="K13" s="70"/>
      <x:c r="L13" s="70"/>
      <x:c r="M13" s="70"/>
      <x:c r="N13" s="70"/>
    </x:row>
    <x:row r="14">
      <x:c r="A14" s="70"/>
      <x:c r="B14" s="70"/>
      <x:c r="C14" s="70"/>
      <x:c r="D14" s="70"/>
      <x:c r="E14" s="70"/>
      <x:c r="F14" s="70"/>
      <x:c r="G14" s="70"/>
      <x:c r="H14" s="70"/>
      <x:c r="I14" s="70"/>
      <x:c r="J14" s="70"/>
      <x:c r="K14" s="70"/>
      <x:c r="L14" s="70"/>
      <x:c r="M14" s="70"/>
      <x:c r="N14" s="70"/>
    </x:row>
    <x:row r="15">
      <x:c r="A15" s="70"/>
      <x:c r="B15" s="70"/>
      <x:c r="C15" s="70"/>
      <x:c r="D15" s="70"/>
      <x:c r="E15" s="70"/>
      <x:c r="F15" s="70"/>
      <x:c r="G15" s="70"/>
      <x:c r="H15" s="70"/>
      <x:c r="I15" s="70"/>
      <x:c r="J15" s="70"/>
      <x:c r="K15" s="70"/>
      <x:c r="L15" s="70"/>
      <x:c r="M15" s="70"/>
      <x:c r="N15" s="70"/>
    </x:row>
    <x:row r="16">
      <x:c r="A16" s="70"/>
      <x:c r="B16" s="70"/>
      <x:c r="C16" s="70"/>
      <x:c r="D16" s="70"/>
      <x:c r="E16" s="70"/>
      <x:c r="F16" s="70"/>
      <x:c r="G16" s="70"/>
      <x:c r="H16" s="70"/>
      <x:c r="I16" s="70"/>
      <x:c r="J16" s="70"/>
      <x:c r="K16" s="70"/>
      <x:c r="L16" s="70"/>
      <x:c r="M16" s="70"/>
      <x:c r="N16" s="70"/>
    </x:row>
    <x:row r="18">
      <x:c r="A18" s="61" t="str">
        <x:v>ما الذي يحبّه المستخدمون في ختمة؟</x:v>
      </x:c>
      <x:c r="B18" s="61"/>
      <x:c r="C18" s="61"/>
      <x:c r="D18" s="61"/>
      <x:c r="E18" s="61"/>
      <x:c r="F18" s="61"/>
      <x:c r="G18" s="61"/>
      <x:c r="H18" s="61" t="str">
        <x:v>ما الذي يسبب فقدان الثقة؟</x:v>
      </x:c>
      <x:c r="I18" s="61"/>
      <x:c r="J18" s="61"/>
      <x:c r="K18" s="61"/>
      <x:c r="L18" s="61"/>
      <x:c r="M18" s="61"/>
      <x:c r="N18" s="61"/>
    </x:row>
    <x:row r="19">
      <x:c r="A19" s="80" t="str">
        <x:v>1) تنظيم الختمة والورد اليومي.
2) سهولة الاستخدام وملاءمة كبار السن.
3) وجود الاحتياجات في مكان واحد.
4) واجهة نظيفة ومظهر Premium.
5) عدم وجود الإعلانات.
6) الويدجت وتتبع الالتزام لتحويل التطبيق إلى رفيق يومي.</x:v>
      </x:c>
      <x:c r="B19" s="80"/>
      <x:c r="C19" s="80"/>
      <x:c r="D19" s="80"/>
      <x:c r="E19" s="80"/>
      <x:c r="F19" s="80"/>
      <x:c r="G19" s="80"/>
      <x:c r="H19" s="90" t="str">
        <x:v>1) ادعاءات أخطاء أو نقص في نص القرآن وأرقام الآيات وحدود الأجزاء.
2) تعطل الأذان أو تأخره أو توقفه في الخلفية.
3) فجوة واضحة بين Android وiOS.
4) طلبات دعم/دفع متكررة أو Paywall مفاجئ.
5) عدم وجود بديل يدوي للموقع والصلاحيات.
6) واجهة قديمة أو مرهقة للعين أو صعبة الضبط.</x:v>
      </x:c>
      <x:c r="I19" s="90"/>
      <x:c r="J19" s="90"/>
      <x:c r="K19" s="90"/>
      <x:c r="L19" s="90"/>
      <x:c r="M19" s="90"/>
      <x:c r="N19" s="90"/>
    </x:row>
    <x:row r="20">
      <x:c r="A20" s="80"/>
      <x:c r="B20" s="80"/>
      <x:c r="C20" s="80"/>
      <x:c r="D20" s="80"/>
      <x:c r="E20" s="80"/>
      <x:c r="F20" s="80"/>
      <x:c r="G20" s="80"/>
      <x:c r="H20" s="90"/>
      <x:c r="I20" s="90"/>
      <x:c r="J20" s="90"/>
      <x:c r="K20" s="90"/>
      <x:c r="L20" s="90"/>
      <x:c r="M20" s="90"/>
      <x:c r="N20" s="90"/>
    </x:row>
    <x:row r="21">
      <x:c r="A21" s="80"/>
      <x:c r="B21" s="80"/>
      <x:c r="C21" s="80"/>
      <x:c r="D21" s="80"/>
      <x:c r="E21" s="80"/>
      <x:c r="F21" s="80"/>
      <x:c r="G21" s="80"/>
      <x:c r="H21" s="90"/>
      <x:c r="I21" s="90"/>
      <x:c r="J21" s="90"/>
      <x:c r="K21" s="90"/>
      <x:c r="L21" s="90"/>
      <x:c r="M21" s="90"/>
      <x:c r="N21" s="90"/>
    </x:row>
    <x:row r="22">
      <x:c r="A22" s="80"/>
      <x:c r="B22" s="80"/>
      <x:c r="C22" s="80"/>
      <x:c r="D22" s="80"/>
      <x:c r="E22" s="80"/>
      <x:c r="F22" s="80"/>
      <x:c r="G22" s="80"/>
      <x:c r="H22" s="90"/>
      <x:c r="I22" s="90"/>
      <x:c r="J22" s="90"/>
      <x:c r="K22" s="90"/>
      <x:c r="L22" s="90"/>
      <x:c r="M22" s="90"/>
      <x:c r="N22" s="90"/>
    </x:row>
    <x:row r="23">
      <x:c r="A23" s="80"/>
      <x:c r="B23" s="80"/>
      <x:c r="C23" s="80"/>
      <x:c r="D23" s="80"/>
      <x:c r="E23" s="80"/>
      <x:c r="F23" s="80"/>
      <x:c r="G23" s="80"/>
      <x:c r="H23" s="90"/>
      <x:c r="I23" s="90"/>
      <x:c r="J23" s="90"/>
      <x:c r="K23" s="90"/>
      <x:c r="L23" s="90"/>
      <x:c r="M23" s="90"/>
      <x:c r="N23" s="90"/>
    </x:row>
    <x:row r="24">
      <x:c r="A24" s="80"/>
      <x:c r="B24" s="80"/>
      <x:c r="C24" s="80"/>
      <x:c r="D24" s="80"/>
      <x:c r="E24" s="80"/>
      <x:c r="F24" s="80"/>
      <x:c r="G24" s="80"/>
      <x:c r="H24" s="90"/>
      <x:c r="I24" s="90"/>
      <x:c r="J24" s="90"/>
      <x:c r="K24" s="90"/>
      <x:c r="L24" s="90"/>
      <x:c r="M24" s="90"/>
      <x:c r="N24" s="90"/>
    </x:row>
    <x:row r="25">
      <x:c r="A25" s="80"/>
      <x:c r="B25" s="80"/>
      <x:c r="C25" s="80"/>
      <x:c r="D25" s="80"/>
      <x:c r="E25" s="80"/>
      <x:c r="F25" s="80"/>
      <x:c r="G25" s="80"/>
      <x:c r="H25" s="90"/>
      <x:c r="I25" s="90"/>
      <x:c r="J25" s="90"/>
      <x:c r="K25" s="90"/>
      <x:c r="L25" s="90"/>
      <x:c r="M25" s="90"/>
      <x:c r="N25" s="90"/>
    </x:row>
    <x:row r="27">
      <x:c r="A27" s="61" t="str">
        <x:v>الاستراتيجية المقترحة لـ MeMuslim</x:v>
      </x:c>
      <x:c r="B27" s="61"/>
      <x:c r="C27" s="61"/>
      <x:c r="D27" s="61"/>
      <x:c r="E27" s="61"/>
      <x:c r="F27" s="61"/>
      <x:c r="G27" s="61"/>
      <x:c r="H27" s="61"/>
      <x:c r="I27" s="61"/>
      <x:c r="J27" s="61"/>
      <x:c r="K27" s="61"/>
      <x:c r="L27" s="61"/>
      <x:c r="M27" s="61"/>
      <x:c r="N27" s="61"/>
    </x:row>
    <x:row r="28">
      <x:c r="A28" s="100" t="str">
        <x:v>التمركز المقترح: «أنا مسلم — رفيقك اليومي للقرآن والصلاة».
اجعل الصفحة الرئيسية رحلة يومية لا كتالوج أدوات: الصلاة القادمة → ورد اليوم → متابعة القراءة/الاستماع → ذكر اليوم → التقدم الأسبوعي.
ترتيب الأولويات:
P0: بوابة نزاهة القرآن والمحتوى + برنامج موثوقية الأذان + موقع يدوي وتشخيص الصلاحيات.
P1: خطة ختمة وورد يومي، تكافؤ المنصات، ويدجت الورد، streak رحيم، واجهة Premium سهلة لكبار السن، وشفافية كاملة في الدفع.
P2: دعم رواية ورش/قالون وفق خطة الأسواق، وتوسيع الأذكار من مصادر موثقة.
القاعدة الحاكمة: لا تسوّق أي ميزة دينية كميزة أساسية قبل أن تصبح قابلة للقياس والاختبار والمراقبة في الإنتاج.</x:v>
      </x:c>
      <x:c r="B28" s="100"/>
      <x:c r="C28" s="100"/>
      <x:c r="D28" s="100"/>
      <x:c r="E28" s="100"/>
      <x:c r="F28" s="100"/>
      <x:c r="G28" s="100"/>
      <x:c r="H28" s="100"/>
      <x:c r="I28" s="100"/>
      <x:c r="J28" s="100"/>
      <x:c r="K28" s="100"/>
      <x:c r="L28" s="100"/>
      <x:c r="M28" s="100"/>
      <x:c r="N28" s="100"/>
    </x:row>
    <x:row r="29">
      <x:c r="A29" s="100"/>
      <x:c r="B29" s="100"/>
      <x:c r="C29" s="100"/>
      <x:c r="D29" s="100"/>
      <x:c r="E29" s="100"/>
      <x:c r="F29" s="100"/>
      <x:c r="G29" s="100"/>
      <x:c r="H29" s="100"/>
      <x:c r="I29" s="100"/>
      <x:c r="J29" s="100"/>
      <x:c r="K29" s="100"/>
      <x:c r="L29" s="100"/>
      <x:c r="M29" s="100"/>
      <x:c r="N29" s="100"/>
    </x:row>
    <x:row r="30">
      <x:c r="A30" s="100"/>
      <x:c r="B30" s="100"/>
      <x:c r="C30" s="100"/>
      <x:c r="D30" s="100"/>
      <x:c r="E30" s="100"/>
      <x:c r="F30" s="100"/>
      <x:c r="G30" s="100"/>
      <x:c r="H30" s="100"/>
      <x:c r="I30" s="100"/>
      <x:c r="J30" s="100"/>
      <x:c r="K30" s="100"/>
      <x:c r="L30" s="100"/>
      <x:c r="M30" s="100"/>
      <x:c r="N30" s="100"/>
    </x:row>
    <x:row r="31">
      <x:c r="A31" s="100"/>
      <x:c r="B31" s="100"/>
      <x:c r="C31" s="100"/>
      <x:c r="D31" s="100"/>
      <x:c r="E31" s="100"/>
      <x:c r="F31" s="100"/>
      <x:c r="G31" s="100"/>
      <x:c r="H31" s="100"/>
      <x:c r="I31" s="100"/>
      <x:c r="J31" s="100"/>
      <x:c r="K31" s="100"/>
      <x:c r="L31" s="100"/>
      <x:c r="M31" s="100"/>
      <x:c r="N31" s="100"/>
    </x:row>
    <x:row r="32">
      <x:c r="A32" s="100"/>
      <x:c r="B32" s="100"/>
      <x:c r="C32" s="100"/>
      <x:c r="D32" s="100"/>
      <x:c r="E32" s="100"/>
      <x:c r="F32" s="100"/>
      <x:c r="G32" s="100"/>
      <x:c r="H32" s="100"/>
      <x:c r="I32" s="100"/>
      <x:c r="J32" s="100"/>
      <x:c r="K32" s="100"/>
      <x:c r="L32" s="100"/>
      <x:c r="M32" s="100"/>
      <x:c r="N32" s="100"/>
    </x:row>
    <x:row r="33">
      <x:c r="A33" s="100"/>
      <x:c r="B33" s="100"/>
      <x:c r="C33" s="100"/>
      <x:c r="D33" s="100"/>
      <x:c r="E33" s="100"/>
      <x:c r="F33" s="100"/>
      <x:c r="G33" s="100"/>
      <x:c r="H33" s="100"/>
      <x:c r="I33" s="100"/>
      <x:c r="J33" s="100"/>
      <x:c r="K33" s="100"/>
      <x:c r="L33" s="100"/>
      <x:c r="M33" s="100"/>
      <x:c r="N33" s="100"/>
    </x:row>
    <x:row r="34">
      <x:c r="A34" s="100"/>
      <x:c r="B34" s="100"/>
      <x:c r="C34" s="100"/>
      <x:c r="D34" s="100"/>
      <x:c r="E34" s="100"/>
      <x:c r="F34" s="100"/>
      <x:c r="G34" s="100"/>
      <x:c r="H34" s="100"/>
      <x:c r="I34" s="100"/>
      <x:c r="J34" s="100"/>
      <x:c r="K34" s="100"/>
      <x:c r="L34" s="100"/>
      <x:c r="M34" s="100"/>
      <x:c r="N34" s="100"/>
    </x:row>
    <x:row r="35">
      <x:c r="A35" s="100"/>
      <x:c r="B35" s="100"/>
      <x:c r="C35" s="100"/>
      <x:c r="D35" s="100"/>
      <x:c r="E35" s="100"/>
      <x:c r="F35" s="100"/>
      <x:c r="G35" s="100"/>
      <x:c r="H35" s="100"/>
      <x:c r="I35" s="100"/>
      <x:c r="J35" s="100"/>
      <x:c r="K35" s="100"/>
      <x:c r="L35" s="100"/>
      <x:c r="M35" s="100"/>
      <x:c r="N35" s="100"/>
    </x:row>
    <x:row r="36">
      <x:c r="A36" s="100"/>
      <x:c r="B36" s="100"/>
      <x:c r="C36" s="100"/>
      <x:c r="D36" s="100"/>
      <x:c r="E36" s="100"/>
      <x:c r="F36" s="100"/>
      <x:c r="G36" s="100"/>
      <x:c r="H36" s="100"/>
      <x:c r="I36" s="100"/>
      <x:c r="J36" s="100"/>
      <x:c r="K36" s="100"/>
      <x:c r="L36" s="100"/>
      <x:c r="M36" s="100"/>
      <x:c r="N36" s="100"/>
    </x:row>
  </x:sheetData>
  <x:mergeCells>
    <x:mergeCell ref="A1:N2"/>
    <x:mergeCell ref="A4:N6"/>
    <x:mergeCell ref="A8:B8"/>
    <x:mergeCell ref="C8:D8"/>
    <x:mergeCell ref="E8:F8"/>
    <x:mergeCell ref="G8:H8"/>
    <x:mergeCell ref="I8:J8"/>
    <x:mergeCell ref="K8:L8"/>
    <x:mergeCell ref="M8:N8"/>
    <x:mergeCell ref="A9:B10"/>
    <x:mergeCell ref="C9:D10"/>
    <x:mergeCell ref="E9:F10"/>
    <x:mergeCell ref="G9:H10"/>
    <x:mergeCell ref="I9:J10"/>
    <x:mergeCell ref="K9:L10"/>
    <x:mergeCell ref="M9:N10"/>
    <x:mergeCell ref="A12:N12"/>
    <x:mergeCell ref="A18:G18"/>
    <x:mergeCell ref="H18:N18"/>
    <x:mergeCell ref="A27:N27"/>
    <x:mergeCell ref="A13:N16"/>
    <x:mergeCell ref="A19:G25"/>
    <x:mergeCell ref="H19:N25"/>
    <x:mergeCell ref="A28:N36"/>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3" hidden="0" customWidth="1"/>
    <x:col min="4" max="4" width="8" hidden="0" customWidth="1"/>
    <x:col min="5" max="5" width="55" hidden="0" customWidth="1"/>
    <x:col min="6" max="6" width="15" hidden="0" customWidth="1"/>
    <x:col min="7" max="7" width="18" hidden="0" customWidth="1"/>
    <x:col min="8" max="8" width="16" hidden="0" customWidth="1"/>
    <x:col min="9" max="9" width="30" hidden="0" customWidth="1"/>
    <x:col min="10" max="10" width="34" hidden="0" customWidth="1"/>
    <x:col min="11" max="11" width="28" hidden="0" customWidth="1"/>
    <x:col min="12" max="12" width="18" hidden="0" customWidth="1"/>
    <x:col min="13" max="13" width="52" hidden="0" customWidth="1"/>
    <x:col min="14" max="14" width="52" hidden="0" customWidth="1"/>
    <x:col min="15" max="15" width="15" hidden="0" customWidth="1"/>
  </x:cols>
  <x:sheetData>
    <x:row r="1" ht="36" hidden="0" customHeight="1">
      <x:c r="A1" s="6" t="str">
        <x:v>م</x:v>
      </x:c>
      <x:c r="B1" s="6" t="str">
        <x:v>المراجع</x:v>
      </x:c>
      <x:c r="C1" s="6" t="str">
        <x:v>التاريخ</x:v>
      </x:c>
      <x:c r="D1" s="6" t="str">
        <x:v>النجوم</x:v>
      </x:c>
      <x:c r="E1" s="6" t="str">
        <x:v>نص المراجعة الأصلي</x:v>
      </x:c>
      <x:c r="F1" s="6" t="str">
        <x:v>اللغة</x:v>
      </x:c>
      <x:c r="G1" s="6" t="str">
        <x:v>اكتمال النص</x:v>
      </x:c>
      <x:c r="H1" s="6" t="str">
        <x:v>اتجاه النص</x:v>
      </x:c>
      <x:c r="I1" s="6" t="str">
        <x:v>توافق النص مع النجوم</x:v>
      </x:c>
      <x:c r="J1" s="6" t="str">
        <x:v>الموضوع الرئيسي</x:v>
      </x:c>
      <x:c r="K1" s="6" t="str">
        <x:v>موضوع ثانوي</x:v>
      </x:c>
      <x:c r="L1" s="6" t="str">
        <x:v>الأهمية لـ MeMuslim</x:v>
      </x:c>
      <x:c r="M1" s="6" t="str">
        <x:v>ما نتعلمه لـ MeMuslim</x:v>
      </x:c>
      <x:c r="N1" s="6" t="str">
        <x:v>الإجراء المقترح</x:v>
      </x:c>
      <x:c r="O1" s="6" t="str">
        <x:v>مصدر الصورة</x:v>
      </x:c>
    </x:row>
    <x:row r="2" ht="39.599998474121094" hidden="0" customHeight="1">
      <x:c r="A2" s="18" t="n">
        <x:v>1</x:v>
      </x:c>
      <x:c r="B2" s="18" t="str">
        <x:v>anesa marh</x:v>
      </x:c>
      <x:c r="C2" s="19" t="n">
        <x:v>46209</x:v>
      </x:c>
      <x:c r="D2" s="18" t="n">
        <x:v>5</x:v>
      </x:c>
      <x:c r="E2" s="14" t="str">
        <x:v>مافيه اعلانات خدمته كويسه جدا انصح فيه مميزاته حلوة وينظم لك الختمه ويساعدك على ختمة القرآن بشكل ممتاز بالايام اللي تساعد وكمية الورد اللي تقروه يوميا انصح فيه وبشدة</x:v>
      </x:c>
      <x:c r="F2" s="22" t="str">
        <x:v>العربية</x:v>
      </x:c>
      <x:c r="G2" s="22" t="str">
        <x:v>كامل تقريبًا</x:v>
      </x:c>
      <x:c r="H2" s="22" t="str">
        <x:v>إيجابي</x:v>
      </x:c>
      <x:c r="I2" s="22" t="str">
        <x:v>متوافق</x:v>
      </x:c>
      <x:c r="J2" s="22" t="str">
        <x:v>الختمة والورد اليومي</x:v>
      </x:c>
      <x:c r="K2" s="22" t="str">
        <x:v>بدون إعلانات</x:v>
      </x:c>
      <x:c r="L2" s="22" t="str">
        <x:v>فرصة عالية</x:v>
      </x:c>
      <x:c r="M2" s="22" t="str">
        <x:v>القيمة الأساسية التي يفهمها المستخدم فورًا هي تنظيم الختمة ومساعدته على إكمال القرآن، مع تقدير واضح لعدم وجود إعلانات.</x:v>
      </x:c>
      <x:c r="N2" s="22" t="str">
        <x:v>اجعل «ورد اليوم/خطة الختمة» محور الصفحة الرئيسية، واظهر وعد «بدون إعلانات» بوضوح في المتجر وداخل المنتج.</x:v>
      </x:c>
      <x:c r="O2" s="22" t="str">
        <x:v>S01</x:v>
      </x:c>
    </x:row>
    <x:row r="3" ht="26.399999618530273" hidden="0" customHeight="1">
      <x:c r="A3" s="18" t="n">
        <x:v>2</x:v>
      </x:c>
      <x:c r="B3" s="18" t="str">
        <x:v>Razan Amer</x:v>
      </x:c>
      <x:c r="C3" s="19" t="n">
        <x:v>46208</x:v>
      </x:c>
      <x:c r="D3" s="18" t="n">
        <x:v>5</x:v>
      </x:c>
      <x:c r="E3" s="14" t="str">
        <x:v>تحفه بجد ضامم حاجات كتير بجد رائع</x:v>
      </x:c>
      <x:c r="F3" s="22" t="str">
        <x:v>العربية</x:v>
      </x:c>
      <x:c r="G3" s="22" t="str">
        <x:v>كامل</x:v>
      </x:c>
      <x:c r="H3" s="22" t="str">
        <x:v>إيجابي</x:v>
      </x:c>
      <x:c r="I3" s="22" t="str">
        <x:v>متوافق</x:v>
      </x:c>
      <x:c r="J3" s="22" t="str">
        <x:v>القيمة الشاملة/كل شيء في مكان واحد</x:v>
      </x:c>
      <x:c r="K3" s="22" t="str">
        <x:v>تقييم عام</x:v>
      </x:c>
      <x:c r="L3" s="22" t="str">
        <x:v>فرصة متوسطة</x:v>
      </x:c>
      <x:c r="M3" s="22" t="str">
        <x:v>المستخدم يقدّر وجود احتياجات إسلامية متعددة في تطبيق واحد، بشرط ألا يضيع الوعد الأساسي.</x:v>
      </x:c>
      <x:c r="N3" s="22" t="str">
        <x:v>حافظ على شمولية الأدوات، لكن نظّمها حول رحلة يومية واضحة بدل عرضها كقائمة خصائص مبعثرة.</x:v>
      </x:c>
      <x:c r="O3" s="22" t="str">
        <x:v>S01</x:v>
      </x:c>
    </x:row>
    <x:row r="4" ht="26.399999618530273" hidden="0" customHeight="1">
      <x:c r="A4" s="18" t="n">
        <x:v>3</x:v>
      </x:c>
      <x:c r="B4" s="18" t="str">
        <x:v>Abdelkareemtalaat</x:v>
      </x:c>
      <x:c r="C4" s="19" t="n">
        <x:v>46208</x:v>
      </x:c>
      <x:c r="D4" s="18" t="n">
        <x:v>5</x:v>
      </x:c>
      <x:c r="E4" s="14" t="str">
        <x:v>excellent</x:v>
      </x:c>
      <x:c r="F4" s="22" t="str">
        <x:v>الإنجليزية</x:v>
      </x:c>
      <x:c r="G4" s="22" t="str">
        <x:v>كامل</x:v>
      </x:c>
      <x:c r="H4" s="22" t="str">
        <x:v>إيجابي</x:v>
      </x:c>
      <x:c r="I4" s="22" t="str">
        <x:v>متوافق</x:v>
      </x:c>
      <x:c r="J4" s="22" t="str">
        <x:v>تقييم عام</x:v>
      </x:c>
      <x:c r="K4" s="22" t="str"/>
      <x:c r="L4" s="22" t="str">
        <x:v>إشارة عامة</x:v>
      </x:c>
      <x:c r="M4" s="22" t="str">
        <x:v>مدح عام لا يكشف سبب القيمة؛ يجب قياس لحظة الإعجاب داخل التطبيق بدل الاعتماد على التعليقات القصيرة.</x:v>
      </x:c>
      <x:c r="N4" s="22" t="str">
        <x:v>أضف استبيانًا اختياريًا قصيرًا داخل التطبيق: «ما أكثر ميزة أفادتك؟» بعد عدة جلسات ناجحة.</x:v>
      </x:c>
      <x:c r="O4" s="22" t="str">
        <x:v>S01</x:v>
      </x:c>
    </x:row>
    <x:row r="5" ht="26.399999618530273" hidden="0" customHeight="1">
      <x:c r="A5" s="18" t="n">
        <x:v>4</x:v>
      </x:c>
      <x:c r="B5" s="18" t="str">
        <x:v>Mona Abdelmaged</x:v>
      </x:c>
      <x:c r="C5" s="19" t="n">
        <x:v>46203</x:v>
      </x:c>
      <x:c r="D5" s="18" t="n">
        <x:v>5</x:v>
      </x:c>
      <x:c r="E5" s="14" t="str">
        <x:v>ممتاز جدا الله يجزيكم خير المشكلة الوحيدة نسخة الاندرويد لا يوجد فيه صوت</x:v>
      </x:c>
      <x:c r="F5" s="22" t="str">
        <x:v>العربية</x:v>
      </x:c>
      <x:c r="G5" s="22" t="str">
        <x:v>كامل</x:v>
      </x:c>
      <x:c r="H5" s="22" t="str">
        <x:v>مختلط/طلب</x:v>
      </x:c>
      <x:c r="I5" s="22" t="str">
        <x:v>متوافق جزئيًا</x:v>
      </x:c>
      <x:c r="J5" s="22" t="str">
        <x:v>تكافؤ Android وiOS</x:v>
      </x:c>
      <x:c r="K5" s="22" t="str">
        <x:v>الصوت والتلاوة</x:v>
      </x:c>
      <x:c r="L5" s="22" t="str">
        <x:v>P1</x:v>
      </x:c>
      <x:c r="M5" s="22" t="str">
        <x:v>حتى المستخدم الراضي قد يعتبر غياب ميزة أساسية على Android نقصًا واضحًا، ويقارن المنصتين مباشرة.</x:v>
      </x:c>
      <x:c r="N5" s="22" t="str">
        <x:v>أنشئ مصفوفة تكافؤ منصات تمنع إصدار أي ميزة أساسية على iOS دون Android أو العكس.</x:v>
      </x:c>
      <x:c r="O5" s="22" t="str">
        <x:v>S01,S02</x:v>
      </x:c>
    </x:row>
    <x:row r="6" ht="39.599998474121094" hidden="0" customHeight="1">
      <x:c r="A6" s="18" t="n">
        <x:v>5</x:v>
      </x:c>
      <x:c r="B6" s="18" t="str">
        <x:v>Marouane Sbai</x:v>
      </x:c>
      <x:c r="C6" s="19" t="n">
        <x:v>46203</x:v>
      </x:c>
      <x:c r="D6" s="18" t="n">
        <x:v>5</x:v>
      </x:c>
      <x:c r="E6" s="14" t="str">
        <x:v>honestly it's one of the best app for reading Koran and follow your Weird and many things like Dikr also it's so easy to use specifically for old man or someone one every thing in one place</x:v>
      </x:c>
      <x:c r="F6" s="22" t="str">
        <x:v>الإنجليزية</x:v>
      </x:c>
      <x:c r="G6" s="22" t="str">
        <x:v>كامل</x:v>
      </x:c>
      <x:c r="H6" s="22" t="str">
        <x:v>إيجابي</x:v>
      </x:c>
      <x:c r="I6" s="22" t="str">
        <x:v>متوافق</x:v>
      </x:c>
      <x:c r="J6" s="22" t="str">
        <x:v>سهولة الاستخدام وإتاحة كبار السن</x:v>
      </x:c>
      <x:c r="K6" s="22" t="str">
        <x:v>الختمة والورد اليومي</x:v>
      </x:c>
      <x:c r="L6" s="22" t="str">
        <x:v>فرصة عالية</x:v>
      </x:c>
      <x:c r="M6" s="22" t="str">
        <x:v>البساطة، وضوح الورد، وجمع الاحتياجات في مكان واحد عوامل قيمة خصوصًا لكبار السن.</x:v>
      </x:c>
      <x:c r="N6" s="22" t="str">
        <x:v>اعتمد وضعًا مريحًا: خطوط أكبر، تباين واضح، أزرار كبيرة، ومسارات قصيرة للقراءة والأذكار.</x:v>
      </x:c>
      <x:c r="O6" s="22" t="str">
        <x:v>S02</x:v>
      </x:c>
    </x:row>
    <x:row r="7" ht="26.399999618530273" hidden="0" customHeight="1">
      <x:c r="A7" s="18" t="n">
        <x:v>6</x:v>
      </x:c>
      <x:c r="B7" s="18" t="str">
        <x:v>Sea</x:v>
      </x:c>
      <x:c r="C7" s="19" t="n">
        <x:v>46202</x:v>
      </x:c>
      <x:c r="D7" s="18" t="n">
        <x:v>5</x:v>
      </x:c>
      <x:c r="E7" s="14" t="str">
        <x:v>The best application jazakom alh khyer 🤍</x:v>
      </x:c>
      <x:c r="F7" s="22" t="str">
        <x:v>الإنجليزية</x:v>
      </x:c>
      <x:c r="G7" s="22" t="str">
        <x:v>كامل</x:v>
      </x:c>
      <x:c r="H7" s="22" t="str">
        <x:v>إيجابي</x:v>
      </x:c>
      <x:c r="I7" s="22" t="str">
        <x:v>متوافق</x:v>
      </x:c>
      <x:c r="J7" s="22" t="str">
        <x:v>تقييم عام</x:v>
      </x:c>
      <x:c r="K7" s="22" t="str"/>
      <x:c r="L7" s="22" t="str">
        <x:v>إشارة عامة</x:v>
      </x:c>
      <x:c r="M7" s="22" t="str">
        <x:v>الثقة والامتنان قويان في التطبيقات الدينية، لكن يجب ربطهما بميزات قابلة للقياس.</x:v>
      </x:c>
      <x:c r="N7" s="22" t="str">
        <x:v>اطلب التقييم بعد إنجاز ورد أو المحافظة على الصلاة/الأذكار لعدة أيام، لا بعد فتح التطبيق مباشرة.</x:v>
      </x:c>
      <x:c r="O7" s="22" t="str">
        <x:v>S02</x:v>
      </x:c>
    </x:row>
    <x:row r="8" ht="26.399999618530273" hidden="0" customHeight="1">
      <x:c r="A8" s="18" t="n">
        <x:v>7</x:v>
      </x:c>
      <x:c r="B8" s="18" t="str">
        <x:v>Tariq Satar</x:v>
      </x:c>
      <x:c r="C8" s="19" t="n">
        <x:v>46202</x:v>
      </x:c>
      <x:c r="D8" s="18" t="n">
        <x:v>5</x:v>
      </x:c>
      <x:c r="E8" s="14" t="str">
        <x:v>this is very good for Muslim and I loved this because is very very important🤩 for Muslim and I'm very …</x:v>
      </x:c>
      <x:c r="F8" s="22" t="str">
        <x:v>الإنجليزية</x:v>
      </x:c>
      <x:c r="G8" s="22" t="str">
        <x:v>جزئي</x:v>
      </x:c>
      <x:c r="H8" s="22" t="str">
        <x:v>إيجابي</x:v>
      </x:c>
      <x:c r="I8" s="22" t="str">
        <x:v>متوافق</x:v>
      </x:c>
      <x:c r="J8" s="22" t="str">
        <x:v>تقييم عام</x:v>
      </x:c>
      <x:c r="K8" s="22" t="str">
        <x:v>القيمة الدينية اليومية</x:v>
      </x:c>
      <x:c r="L8" s="22" t="str">
        <x:v>إشارة عامة</x:v>
      </x:c>
      <x:c r="M8" s="22" t="str">
        <x:v>التطبيق يُنظر إليه كأداة مهمة للمسلم، لكن النص مقطوع ولا يحدد ميزة بعينها.</x:v>
      </x:c>
      <x:c r="N8" s="22" t="str">
        <x:v>وضّح في صفحة المتجر وبداية التطبيق ما الذي يجعل MeMuslim «مهمًا يوميًا» في جملة واحدة.</x:v>
      </x:c>
      <x:c r="O8" s="22" t="str">
        <x:v>S02</x:v>
      </x:c>
    </x:row>
    <x:row r="9" ht="39.599998474121094" hidden="0" customHeight="1">
      <x:c r="A9" s="18" t="n">
        <x:v>8</x:v>
      </x:c>
      <x:c r="B9" s="18" t="str">
        <x:v>Kareem Aboelataa</x:v>
      </x:c>
      <x:c r="C9" s="19" t="n">
        <x:v>46175</x:v>
      </x:c>
      <x:c r="D9" s="18" t="n">
        <x:v>1</x:v>
      </x:c>
      <x:c r="E9" s="14" t="str">
        <x:v>very bad application, so old UI UX, it makes you feel that this application developed in 2014 and never gets updated, so bad for the eyes also, idk how you got this 5m downloads.</x:v>
      </x:c>
      <x:c r="F9" s="22" t="str">
        <x:v>الإنجليزية</x:v>
      </x:c>
      <x:c r="G9" s="22" t="str">
        <x:v>كامل</x:v>
      </x:c>
      <x:c r="H9" s="22" t="str">
        <x:v>سلبي</x:v>
      </x:c>
      <x:c r="I9" s="22" t="str">
        <x:v>متوافق</x:v>
      </x:c>
      <x:c r="J9" s="22" t="str">
        <x:v>التصميم وتجربة الاستخدام</x:v>
      </x:c>
      <x:c r="K9" s="22" t="str">
        <x:v>إجهاد العين</x:v>
      </x:c>
      <x:c r="L9" s="22" t="str">
        <x:v>P1</x:v>
      </x:c>
      <x:c r="M9" s="22" t="str">
        <x:v>الانتشار الكبير لا يعوّض واجهة قديمة أو مرهقة للعين؛ هذا باب تفوق مباشر لـ MeMuslim.</x:v>
      </x:c>
      <x:c r="N9" s="22" t="str">
        <x:v>استثمر في واجهة هادئة وحديثة، وضع ليلي حقيقي، تباين مدروس، ومسافات وخط عربي مريح.</x:v>
      </x:c>
      <x:c r="O9" s="22" t="str">
        <x:v>S03</x:v>
      </x:c>
    </x:row>
    <x:row r="10" ht="26.399999618530273" hidden="0" customHeight="1">
      <x:c r="A10" s="18" t="n">
        <x:v>9</x:v>
      </x:c>
      <x:c r="B10" s="18" t="str">
        <x:v>Aishamaaso</x:v>
      </x:c>
      <x:c r="C10" s="19" t="n">
        <x:v>46156</x:v>
      </x:c>
      <x:c r="D10" s="18" t="n">
        <x:v>1</x:v>
      </x:c>
      <x:c r="E10" s="14" t="str">
        <x:v>so good Alhamdulillah</x:v>
      </x:c>
      <x:c r="F10" s="22" t="str">
        <x:v>الإنجليزية</x:v>
      </x:c>
      <x:c r="G10" s="22" t="str">
        <x:v>كامل</x:v>
      </x:c>
      <x:c r="H10" s="22" t="str">
        <x:v>إيجابي</x:v>
      </x:c>
      <x:c r="I10" s="22" t="str">
        <x:v>غير متوافق (نص إيجابي مع نجمة واحدة)</x:v>
      </x:c>
      <x:c r="J10" s="22" t="str">
        <x:v>تقييم عام</x:v>
      </x:c>
      <x:c r="K10" s="22" t="str">
        <x:v>مشكلة في فهم/اختيار التقييم</x:v>
      </x:c>
      <x:c r="L10" s="22" t="str">
        <x:v>P1</x:v>
      </x:c>
      <x:c r="M10" s="22" t="str">
        <x:v>بعض المستخدمين يكتبون مدحًا مع نجمة واحدة، ما يعني أن النجوم وحدها لا تكفي وقد تكون واجهة طلب التقييم مربكة.</x:v>
      </x:c>
      <x:c r="N10" s="22" t="str">
        <x:v>اختبر تدفق طلب التقييم ووضّح معنى النجوم، واطلب التقييم في لحظة نجاح دون ضغط أو خداع.</x:v>
      </x:c>
      <x:c r="O10" s="22" t="str">
        <x:v>S03</x:v>
      </x:c>
    </x:row>
    <x:row r="11" ht="26.399999618530273" hidden="0" customHeight="1">
      <x:c r="A11" s="18" t="n">
        <x:v>10</x:v>
      </x:c>
      <x:c r="B11" s="18" t="str">
        <x:v>Nourhan Ayad</x:v>
      </x:c>
      <x:c r="C11" s="19" t="n">
        <x:v>46093</x:v>
      </x:c>
      <x:c r="D11" s="18" t="n">
        <x:v>1</x:v>
      </x:c>
      <x:c r="E11" s="14" t="str">
        <x:v>والله غش في تلفونات الاندرويد ما في تحديثات نفس تلفون الايفون شو هاي العنصرية 😢💔</x:v>
      </x:c>
      <x:c r="F11" s="22" t="str">
        <x:v>العربية</x:v>
      </x:c>
      <x:c r="G11" s="22" t="str">
        <x:v>كامل</x:v>
      </x:c>
      <x:c r="H11" s="22" t="str">
        <x:v>سلبي</x:v>
      </x:c>
      <x:c r="I11" s="22" t="str">
        <x:v>متوافق</x:v>
      </x:c>
      <x:c r="J11" s="22" t="str">
        <x:v>تكافؤ Android وiOS</x:v>
      </x:c>
      <x:c r="K11" s="22" t="str">
        <x:v>وتيرة التحديثات</x:v>
      </x:c>
      <x:c r="L11" s="22" t="str">
        <x:v>P1</x:v>
      </x:c>
      <x:c r="M11" s="22" t="str">
        <x:v>فجوة المنصات تتحول سريعًا إلى إحساس بعدم الإنصاف وتضر العلامة، حتى لو كانت أسبابها تقنية.</x:v>
      </x:c>
      <x:c r="N11" s="22" t="str">
        <x:v>انشر سجل ميزات موحدًا، واعتبر تكافؤ Android/iOS بوابة إصدار لا مجرد هدف لاحق.</x:v>
      </x:c>
      <x:c r="O11" s="22" t="str">
        <x:v>S03</x:v>
      </x:c>
    </x:row>
    <x:row r="12" ht="26.399999618530273" hidden="0" customHeight="1">
      <x:c r="A12" s="18" t="n">
        <x:v>11</x:v>
      </x:c>
      <x:c r="B12" s="18" t="str">
        <x:v>の上サポーター</x:v>
      </x:c>
      <x:c r="C12" s="19" t="n">
        <x:v>46089</x:v>
      </x:c>
      <x:c r="D12" s="18" t="n">
        <x:v>1</x:v>
      </x:c>
      <x:c r="E12" s="14" t="str">
        <x:v>أتمنى أن يكون مثل الايفون وجعل عند اضغط باستمرار على الآية يمكنك سماعها مثل (الايفون) وعدم ازالة بعض المزايا وشكرا</x:v>
      </x:c>
      <x:c r="F12" s="22" t="str">
        <x:v>العربية</x:v>
      </x:c>
      <x:c r="G12" s="22" t="str">
        <x:v>كامل تقريبًا</x:v>
      </x:c>
      <x:c r="H12" s="22" t="str">
        <x:v>سلبي/طلب</x:v>
      </x:c>
      <x:c r="I12" s="22" t="str">
        <x:v>متوافق</x:v>
      </x:c>
      <x:c r="J12" s="22" t="str">
        <x:v>تكافؤ Android وiOS</x:v>
      </x:c>
      <x:c r="K12" s="22" t="str">
        <x:v>تشغيل صوت الآية بالضغط المطول</x:v>
      </x:c>
      <x:c r="L12" s="22" t="str">
        <x:v>P1</x:v>
      </x:c>
      <x:c r="M12" s="22" t="str">
        <x:v>التفاعلات الصغيرة مثل الضغط المطول لسماع الآية قد تكون جزءًا أساسيًا من تجربة القراءة وليست تحسينًا ثانويًا.</x:v>
      </x:c>
      <x:c r="N12" s="22" t="str">
        <x:v>وثّق تفاعلات المصحف الأساسية وطبّقها بالتساوي: الضغط المطول، التفسير، النسخ، المشاركة، والاستماع.</x:v>
      </x:c>
      <x:c r="O12" s="22" t="str">
        <x:v>S03,S04</x:v>
      </x:c>
    </x:row>
    <x:row r="13" ht="26.399999618530273" hidden="0" customHeight="1">
      <x:c r="A13" s="18" t="n">
        <x:v>12</x:v>
      </x:c>
      <x:c r="B13" s="18" t="str">
        <x:v>محمد ممدوح</x:v>
      </x:c>
      <x:c r="C13" s="19" t="n">
        <x:v>46082</x:v>
      </x:c>
      <x:c r="D13" s="18" t="n">
        <x:v>1</x:v>
      </x:c>
      <x:c r="E13" s="14" t="str">
        <x:v>فيه أخطاء وحروف ناقصة</x:v>
      </x:c>
      <x:c r="F13" s="22" t="str">
        <x:v>العربية</x:v>
      </x:c>
      <x:c r="G13" s="22" t="str">
        <x:v>كامل</x:v>
      </x:c>
      <x:c r="H13" s="22" t="str">
        <x:v>سلبي</x:v>
      </x:c>
      <x:c r="I13" s="22" t="str">
        <x:v>متوافق</x:v>
      </x:c>
      <x:c r="J13" s="22" t="str">
        <x:v>سلامة نص القرآن والبيانات الدينية</x:v>
      </x:c>
      <x:c r="K13" s="22" t="str">
        <x:v>حروف ناقصة</x:v>
      </x:c>
      <x:c r="L13" s="22" t="str">
        <x:v>P0 حرج</x:v>
      </x:c>
      <x:c r="M13" s="22" t="str">
        <x:v>أي ادعاء بوجود حروف ناقصة يهدد الثقة الوجودية في التطبيق، حتى لو كان سببه خطًا أو عرضًا لا البيانات نفسها.</x:v>
      </x:c>
      <x:c r="N13" s="22" t="str">
        <x:v>اعمل بوابة نزاهة للمصحف: مصدر موثوق غير قابل للتحرير اليدوي، checksums، اختبارات عدد الآيات/النص، ومراجعة بشرية.</x:v>
      </x:c>
      <x:c r="O13" s="22" t="str">
        <x:v>S04</x:v>
      </x:c>
    </x:row>
    <x:row r="14" ht="79.19999694824219" hidden="0" customHeight="1">
      <x:c r="A14" s="18" t="n">
        <x:v>13</x:v>
      </x:c>
      <x:c r="B14" s="18" t="str">
        <x:v>Abdelrahman</x:v>
      </x:c>
      <x:c r="C14" s="19" t="n">
        <x:v>46075</x:v>
      </x:c>
      <x:c r="D14" s="18" t="n">
        <x:v>1</x:v>
      </x:c>
      <x:c r="E14" s="14" t="str">
        <x:v>bro I can't use the location feature and there is no add the location yourself so I can't know what time Salah is like bro each time I say use location it glitches out so I press again and it tells me give permission in the settings like bro I already did I swear to god this is going to stay a one star until it gets fixed what a waste of time I wasted so much time and energy trying to get this to work but nothing works</x:v>
      </x:c>
      <x:c r="F14" s="22" t="str">
        <x:v>الإنجليزية</x:v>
      </x:c>
      <x:c r="G14" s="22" t="str">
        <x:v>كامل</x:v>
      </x:c>
      <x:c r="H14" s="22" t="str">
        <x:v>سلبي</x:v>
      </x:c>
      <x:c r="I14" s="22" t="str">
        <x:v>متوافق</x:v>
      </x:c>
      <x:c r="J14" s="22" t="str">
        <x:v>الموقع والصلاحيات</x:v>
      </x:c>
      <x:c r="K14" s="22" t="str">
        <x:v>مواقيت الصلاة</x:v>
      </x:c>
      <x:c r="L14" s="22" t="str">
        <x:v>P0</x:v>
      </x:c>
      <x:c r="M14" s="22" t="str">
        <x:v>غياب إدخال الموقع يدويًا يجعل فشل الصلاحية طريقًا مسدودًا ويحوّل ميزة الصلاة إلى تجربة محبطة.</x:v>
      </x:c>
      <x:c r="N14" s="22" t="str">
        <x:v>وفّر اختيار المدينة يدويًا، تشخيص الصلاحيات، إعادة المحاولة، وحالة واضحة تشرح لماذا تعذر تحديد الموقع.</x:v>
      </x:c>
      <x:c r="O14" s="22" t="str">
        <x:v>S04</x:v>
      </x:c>
    </x:row>
    <x:row r="15" ht="26.399999618530273" hidden="0" customHeight="1">
      <x:c r="A15" s="18" t="n">
        <x:v>14</x:v>
      </x:c>
      <x:c r="B15" s="18" t="str">
        <x:v>Layan Ammar</x:v>
      </x:c>
      <x:c r="C15" s="19" t="n">
        <x:v>46062</x:v>
      </x:c>
      <x:c r="D15" s="18" t="n">
        <x:v>1</x:v>
      </x:c>
      <x:c r="E15" s="14" t="str">
        <x:v>مهم جدا في خاصية التفسير ليست مفعلة على الاندرويد</x:v>
      </x:c>
      <x:c r="F15" s="22" t="str">
        <x:v>العربية</x:v>
      </x:c>
      <x:c r="G15" s="22" t="str">
        <x:v>كامل</x:v>
      </x:c>
      <x:c r="H15" s="22" t="str">
        <x:v>سلبي/طلب</x:v>
      </x:c>
      <x:c r="I15" s="22" t="str">
        <x:v>متوافق</x:v>
      </x:c>
      <x:c r="J15" s="22" t="str">
        <x:v>التفسير</x:v>
      </x:c>
      <x:c r="K15" s="22" t="str">
        <x:v>تكافؤ Android وiOS</x:v>
      </x:c>
      <x:c r="L15" s="22" t="str">
        <x:v>P1</x:v>
      </x:c>
      <x:c r="M15" s="22" t="str">
        <x:v>التفسير يُعد من أساسيات تجربة القرآن لدى شريحة مهمة، وغيابه على منصة واحدة يضر القيمة.</x:v>
      </x:c>
      <x:c r="N15" s="22" t="str">
        <x:v>أدرج التفسير ضمن الحد الأدنى الموحد لتجربة المصحف على كل المنصات مع تنزيل أوفلاين اختياري.</x:v>
      </x:c>
      <x:c r="O15" s="22" t="str">
        <x:v>S05</x:v>
      </x:c>
    </x:row>
    <x:row r="16" ht="26.399999618530273" hidden="0" customHeight="1">
      <x:c r="A16" s="18" t="n">
        <x:v>15</x:v>
      </x:c>
      <x:c r="B16" s="18" t="str">
        <x:v>Hoor Mahmoud</x:v>
      </x:c>
      <x:c r="C16" s="19" t="n">
        <x:v>46051</x:v>
      </x:c>
      <x:c r="D16" s="18" t="n">
        <x:v>1</x:v>
      </x:c>
      <x:c r="E16" s="14" t="str">
        <x:v>مكتوب في وسط الأدعية أدعية مسيحية</x:v>
      </x:c>
      <x:c r="F16" s="22" t="str">
        <x:v>العربية</x:v>
      </x:c>
      <x:c r="G16" s="22" t="str">
        <x:v>كامل</x:v>
      </x:c>
      <x:c r="H16" s="22" t="str">
        <x:v>سلبي</x:v>
      </x:c>
      <x:c r="I16" s="22" t="str">
        <x:v>متوافق</x:v>
      </x:c>
      <x:c r="J16" s="22" t="str">
        <x:v>سلامة نص القرآن والبيانات الدينية</x:v>
      </x:c>
      <x:c r="K16" s="22" t="str">
        <x:v>محتوى الأدعية</x:v>
      </x:c>
      <x:c r="L16" s="22" t="str">
        <x:v>P0 حرج</x:v>
      </x:c>
      <x:c r="M16" s="22" t="str">
        <x:v>خلط أو خطأ في المحتوى الديني أخطر من bug تقني؛ قد ينسف الثقة في جميع أقسام التطبيق.</x:v>
      </x:c>
      <x:c r="N16" s="22" t="str">
        <x:v>أنشئ سلسلة توريد محتوى موثقة: مصدر كل دعاء، مراجعة شرعية، إصدار بيانات، ومراجعة قبل النشر.</x:v>
      </x:c>
      <x:c r="O16" s="22" t="str">
        <x:v>S05</x:v>
      </x:c>
    </x:row>
    <x:row r="17" ht="26.399999618530273" hidden="0" customHeight="1">
      <x:c r="A17" s="18" t="n">
        <x:v>16</x:v>
      </x:c>
      <x:c r="B17" s="18" t="str">
        <x:v>Rawaa Jumaa</x:v>
      </x:c>
      <x:c r="C17" s="19" t="n">
        <x:v>46051</x:v>
      </x:c>
      <x:c r="D17" s="18" t="n">
        <x:v>1</x:v>
      </x:c>
      <x:c r="E17" s="14" t="str">
        <x:v>المؤذن لا يؤذن</x:v>
      </x:c>
      <x:c r="F17" s="22" t="str">
        <x:v>العربية</x:v>
      </x:c>
      <x:c r="G17" s="22" t="str">
        <x:v>كامل</x:v>
      </x:c>
      <x:c r="H17" s="22" t="str">
        <x:v>سلبي</x:v>
      </x:c>
      <x:c r="I17" s="22" t="str">
        <x:v>متوافق</x:v>
      </x:c>
      <x:c r="J17" s="22" t="str">
        <x:v>الأذان ومواقيت الصلاة</x:v>
      </x:c>
      <x:c r="K17" s="22" t="str">
        <x:v>عدم تشغيل الأذان</x:v>
      </x:c>
      <x:c r="L17" s="22" t="str">
        <x:v>P0</x:v>
      </x:c>
      <x:c r="M17" s="22" t="str">
        <x:v>الأذان ميزة وعدها ثنائي: يعمل في الموعد أو يفقد المستخدم الثقة كليًا.</x:v>
      </x:c>
      <x:c r="N17" s="22" t="str">
        <x:v>اعتبر الأذان خدمة حرجة مع اختبارات أجهزة حقيقية، exact alarms، مراقبة الفشل، وزر اختبار.</x:v>
      </x:c>
      <x:c r="O17" s="22" t="str">
        <x:v>S05</x:v>
      </x:c>
    </x:row>
    <x:row r="18" ht="26.399999618530273" hidden="0" customHeight="1">
      <x:c r="A18" s="18" t="n">
        <x:v>17</x:v>
      </x:c>
      <x:c r="B18" s="18" t="str">
        <x:v>a aa</x:v>
      </x:c>
      <x:c r="C18" s="19" t="n">
        <x:v>46026</x:v>
      </x:c>
      <x:c r="D18" s="18" t="n">
        <x:v>1</x:v>
      </x:c>
      <x:c r="E18" s="14" t="str">
        <x:v>حطو أذان الأردن الشريف وهي نجمة فقط</x:v>
      </x:c>
      <x:c r="F18" s="22" t="str">
        <x:v>العربية</x:v>
      </x:c>
      <x:c r="G18" s="22" t="str">
        <x:v>كامل تقريبًا</x:v>
      </x:c>
      <x:c r="H18" s="22" t="str">
        <x:v>سلبي/طلب</x:v>
      </x:c>
      <x:c r="I18" s="22" t="str">
        <x:v>متوافق</x:v>
      </x:c>
      <x:c r="J18" s="22" t="str">
        <x:v>تخصيص الأذان</x:v>
      </x:c>
      <x:c r="K18" s="22" t="str">
        <x:v>اختيارات إقليمية</x:v>
      </x:c>
      <x:c r="L18" s="22" t="str">
        <x:v>P2</x:v>
      </x:c>
      <x:c r="M18" s="22" t="str">
        <x:v>اختيار صوت الأذان يحمل بعدًا ثقافيًا وإقليميًا وقد يؤثر في الرضا.</x:v>
      </x:c>
      <x:c r="N18" s="22" t="str">
        <x:v>وفّر مكتبة أصوات أذان مرخصة مع معاينة وتنزيل، دون جعلها أولوية قبل موثوقية التشغيل.</x:v>
      </x:c>
      <x:c r="O18" s="22" t="str">
        <x:v>S05,S06</x:v>
      </x:c>
    </x:row>
    <x:row r="19" ht="26.399999618530273" hidden="0" customHeight="1">
      <x:c r="A19" s="18" t="n">
        <x:v>18</x:v>
      </x:c>
      <x:c r="B19" s="18" t="str">
        <x:v>ABDELRAHMAN ADEL</x:v>
      </x:c>
      <x:c r="C19" s="19" t="n">
        <x:v>46013</x:v>
      </x:c>
      <x:c r="D19" s="18" t="n">
        <x:v>1</x:v>
      </x:c>
      <x:c r="E19" s="14" t="str">
        <x:v>the touch is not working well at the screen at all while installing this app, you have to fix this</x:v>
      </x:c>
      <x:c r="F19" s="22" t="str">
        <x:v>الإنجليزية</x:v>
      </x:c>
      <x:c r="G19" s="22" t="str">
        <x:v>كامل</x:v>
      </x:c>
      <x:c r="H19" s="22" t="str">
        <x:v>سلبي</x:v>
      </x:c>
      <x:c r="I19" s="22" t="str">
        <x:v>متوافق</x:v>
      </x:c>
      <x:c r="J19" s="22" t="str">
        <x:v>التصميم وتجربة الاستخدام</x:v>
      </x:c>
      <x:c r="K19" s="22" t="str">
        <x:v>اللمس والاستجابة</x:v>
      </x:c>
      <x:c r="L19" s="22" t="str">
        <x:v>P1</x:v>
      </x:c>
      <x:c r="M19" s="22" t="str">
        <x:v>مشاكل اللمس أو الطبقات المتداخلة تجعل التطبيق يبدو معطلًا حتى لو كانت الوظائف الخلفية سليمة.</x:v>
      </x:c>
      <x:c r="N19" s="22" t="str">
        <x:v>أضف اختبارات تفاعل على أحجام شاشات وكثافات مختلفة، وفحص overlays ومناطق اللمس.</x:v>
      </x:c>
      <x:c r="O19" s="22" t="str">
        <x:v>S06</x:v>
      </x:c>
    </x:row>
    <x:row r="20" ht="26.399999618530273" hidden="0" customHeight="1">
      <x:c r="A20" s="18" t="n">
        <x:v>19</x:v>
      </x:c>
      <x:c r="B20" s="18" t="str">
        <x:v>Alkalam library</x:v>
      </x:c>
      <x:c r="C20" s="19" t="n">
        <x:v>46005</x:v>
      </x:c>
      <x:c r="D20" s="18" t="n">
        <x:v>1</x:v>
      </x:c>
      <x:c r="E20" s="14" t="str">
        <x:v>في مشكلة في تأخير الاذان شوية ياريت تظبط الموضوع ده الاذان بيأذن وبعدها البرنامج يأذن</x:v>
      </x:c>
      <x:c r="F20" s="22" t="str">
        <x:v>العربية</x:v>
      </x:c>
      <x:c r="G20" s="22" t="str">
        <x:v>كامل</x:v>
      </x:c>
      <x:c r="H20" s="22" t="str">
        <x:v>سلبي</x:v>
      </x:c>
      <x:c r="I20" s="22" t="str">
        <x:v>متوافق</x:v>
      </x:c>
      <x:c r="J20" s="22" t="str">
        <x:v>الأذان ومواقيت الصلاة</x:v>
      </x:c>
      <x:c r="K20" s="22" t="str">
        <x:v>تأخير التوقيت</x:v>
      </x:c>
      <x:c r="L20" s="22" t="str">
        <x:v>P0</x:v>
      </x:c>
      <x:c r="M20" s="22" t="str">
        <x:v>التأخر حتى دقائق قليلة يجعل الأذان غير موثوق؛ المستخدم يقارنه بالأذان الفعلي فورًا.</x:v>
      </x:c>
      <x:c r="N20" s="22" t="str">
        <x:v>اعرض طريقة الحساب والمنطقة الزمنية، واسمح بضبط يدوي لكل صلاة مع تحقق من تغيّر DST.</x:v>
      </x:c>
      <x:c r="O20" s="22" t="str">
        <x:v>S06</x:v>
      </x:c>
    </x:row>
    <x:row r="21" ht="26.399999618530273" hidden="0" customHeight="1">
      <x:c r="A21" s="18" t="n">
        <x:v>20</x:v>
      </x:c>
      <x:c r="B21" s="18" t="str">
        <x:v>Hajar Moussaid</x:v>
      </x:c>
      <x:c r="C21" s="19" t="n">
        <x:v>45990</x:v>
      </x:c>
      <x:c r="D21" s="18" t="n">
        <x:v>1</x:v>
      </x:c>
      <x:c r="E21" s="14" t="str">
        <x:v>very useful application , jazakom allah lkhayr</x:v>
      </x:c>
      <x:c r="F21" s="22" t="str">
        <x:v>الإنجليزية</x:v>
      </x:c>
      <x:c r="G21" s="22" t="str">
        <x:v>كامل</x:v>
      </x:c>
      <x:c r="H21" s="22" t="str">
        <x:v>إيجابي</x:v>
      </x:c>
      <x:c r="I21" s="22" t="str">
        <x:v>غير متوافق (نص إيجابي مع نجمة واحدة)</x:v>
      </x:c>
      <x:c r="J21" s="22" t="str">
        <x:v>تقييم عام</x:v>
      </x:c>
      <x:c r="K21" s="22" t="str">
        <x:v>مشكلة في فهم/اختيار التقييم</x:v>
      </x:c>
      <x:c r="L21" s="22" t="str">
        <x:v>P1</x:v>
      </x:c>
      <x:c r="M21" s="22" t="str">
        <x:v>تكرار النص الإيجابي مع نجمة واحدة يؤكد ضرورة تحليل النص لا النجوم فقط.</x:v>
      </x:c>
      <x:c r="N21" s="22" t="str">
        <x:v>في لوحة التحليلات، صنّف sentiment من النص وراجع أي تقييم 1 نجمة مع نص إيجابي.</x:v>
      </x:c>
      <x:c r="O21" s="22" t="str">
        <x:v>S06,S07</x:v>
      </x:c>
    </x:row>
    <x:row r="22" ht="26.399999618530273" hidden="0" customHeight="1">
      <x:c r="A22" s="18" t="n">
        <x:v>21</x:v>
      </x:c>
      <x:c r="B22" s="18" t="str">
        <x:v>Shatha Nadhem</x:v>
      </x:c>
      <x:c r="C22" s="19" t="n">
        <x:v>45970</x:v>
      </x:c>
      <x:c r="D22" s="18" t="n">
        <x:v>1</x:v>
      </x:c>
      <x:c r="E22" s="14" t="str">
        <x:v>It's hard to adjust</x:v>
      </x:c>
      <x:c r="F22" s="22" t="str">
        <x:v>الإنجليزية</x:v>
      </x:c>
      <x:c r="G22" s="22" t="str">
        <x:v>كامل</x:v>
      </x:c>
      <x:c r="H22" s="22" t="str">
        <x:v>سلبي</x:v>
      </x:c>
      <x:c r="I22" s="22" t="str">
        <x:v>متوافق</x:v>
      </x:c>
      <x:c r="J22" s="22" t="str">
        <x:v>التصميم وتجربة الاستخدام</x:v>
      </x:c>
      <x:c r="K22" s="22" t="str">
        <x:v>الإعدادات</x:v>
      </x:c>
      <x:c r="L22" s="22" t="str">
        <x:v>P1</x:v>
      </x:c>
      <x:c r="M22" s="22" t="str">
        <x:v>الإعدادات المعقدة أو غير الواضحة تمنع المستخدم من الوصول للقيمة الأساسية.</x:v>
      </x:c>
      <x:c r="N22" s="22" t="str">
        <x:v>استخدم إعدادًا أوليًا قصيرًا مع defaults موثوقة وإمكانية تعديل متقدمة لاحقًا.</x:v>
      </x:c>
      <x:c r="O22" s="22" t="str">
        <x:v>S07</x:v>
      </x:c>
    </x:row>
    <x:row r="23" ht="26.399999618530273" hidden="0" customHeight="1">
      <x:c r="A23" s="18" t="n">
        <x:v>22</x:v>
      </x:c>
      <x:c r="B23" s="18" t="str">
        <x:v>Abdelrahman Abdelghani</x:v>
      </x:c>
      <x:c r="C23" s="19" t="n">
        <x:v>45961</x:v>
      </x:c>
      <x:c r="D23" s="18" t="n">
        <x:v>1</x:v>
      </x:c>
      <x:c r="E23" s="14" t="str">
        <x:v>ترى التطبيق في كثير تحريفات للقرآن أعوذ بالله منه</x:v>
      </x:c>
      <x:c r="F23" s="22" t="str">
        <x:v>العربية</x:v>
      </x:c>
      <x:c r="G23" s="22" t="str">
        <x:v>كامل</x:v>
      </x:c>
      <x:c r="H23" s="22" t="str">
        <x:v>سلبي</x:v>
      </x:c>
      <x:c r="I23" s="22" t="str">
        <x:v>متوافق</x:v>
      </x:c>
      <x:c r="J23" s="22" t="str">
        <x:v>سلامة نص القرآن والبيانات الدينية</x:v>
      </x:c>
      <x:c r="K23" s="22" t="str">
        <x:v>ادعاء تحريفات</x:v>
      </x:c>
      <x:c r="L23" s="22" t="str">
        <x:v>P0 حرج</x:v>
      </x:c>
      <x:c r="M23" s="22" t="str">
        <x:v>مجرد انتشار تصور بوجود تحريفات قد يدمّر سمعة التطبيق حتى لو كان الخلل بصريًا أو في الترميز.</x:v>
      </x:c>
      <x:c r="N23" s="22" t="str">
        <x:v>أضف توثيق مصدر المصحف داخل التطبيق، آلية بلاغ آية، واستجابة عامة شفافة لأي بلاغ مثبت.</x:v>
      </x:c>
      <x:c r="O23" s="22" t="str">
        <x:v>S07</x:v>
      </x:c>
    </x:row>
    <x:row r="24" ht="26.399999618530273" hidden="0" customHeight="1">
      <x:c r="A24" s="18" t="n">
        <x:v>23</x:v>
      </x:c>
      <x:c r="B24" s="18" t="str">
        <x:v>Saumu Karama</x:v>
      </x:c>
      <x:c r="C24" s="19" t="n">
        <x:v>45936</x:v>
      </x:c>
      <x:c r="D24" s="18" t="n">
        <x:v>1</x:v>
      </x:c>
      <x:c r="E24" s="14" t="str">
        <x:v>Mashallah a Very good app.. it has become my everyday life friend.. may Allah become it ease for all of us</x:v>
      </x:c>
      <x:c r="F24" s="22" t="str">
        <x:v>الإنجليزية</x:v>
      </x:c>
      <x:c r="G24" s="22" t="str">
        <x:v>كامل</x:v>
      </x:c>
      <x:c r="H24" s="22" t="str">
        <x:v>إيجابي</x:v>
      </x:c>
      <x:c r="I24" s="22" t="str">
        <x:v>غير متوافق (نص إيجابي مع نجمة واحدة)</x:v>
      </x:c>
      <x:c r="J24" s="22" t="str">
        <x:v>القيمة الدينية اليومية</x:v>
      </x:c>
      <x:c r="K24" s="22" t="str">
        <x:v>الاحتفاظ والعادة</x:v>
      </x:c>
      <x:c r="L24" s="22" t="str">
        <x:v>فرصة عالية</x:v>
      </x:c>
      <x:c r="M24" s="22" t="str">
        <x:v>الوصول إلى مكانة «رفيق يومي» أقوى من مجرد كثرة الميزات، وهي صياغة مناسبة لهوية MeMuslim.</x:v>
      </x:c>
      <x:c r="N24" s="22" t="str">
        <x:v>صمّم Home حول احتياجات اليوم: الصلاة القادمة، ورد اليوم، ذكر اليوم، ومتابعة الاستماع.</x:v>
      </x:c>
      <x:c r="O24" s="22" t="str">
        <x:v>S07</x:v>
      </x:c>
    </x:row>
    <x:row r="25" ht="26.399999618530273" hidden="0" customHeight="1">
      <x:c r="A25" s="18" t="n">
        <x:v>24</x:v>
      </x:c>
      <x:c r="B25" s="18" t="str">
        <x:v>Nada Mohamed</x:v>
      </x:c>
      <x:c r="C25" s="19" t="n">
        <x:v>45925</x:v>
      </x:c>
      <x:c r="D25" s="18" t="n">
        <x:v>1</x:v>
      </x:c>
      <x:c r="E25" s="14" t="str">
        <x:v>التطبيق حلو وأتمنى يبقى في مميزات أحدث</x:v>
      </x:c>
      <x:c r="F25" s="22" t="str">
        <x:v>العربية</x:v>
      </x:c>
      <x:c r="G25" s="22" t="str">
        <x:v>كامل</x:v>
      </x:c>
      <x:c r="H25" s="22" t="str">
        <x:v>مختلط/طلب</x:v>
      </x:c>
      <x:c r="I25" s="22" t="str">
        <x:v>غير متوافق جزئيًا</x:v>
      </x:c>
      <x:c r="J25" s="22" t="str">
        <x:v>تطور المنتج والميزات</x:v>
      </x:c>
      <x:c r="K25" s="22" t="str">
        <x:v>تقييم عام</x:v>
      </x:c>
      <x:c r="L25" s="22" t="str">
        <x:v>P2</x:v>
      </x:c>
      <x:c r="M25" s="22" t="str">
        <x:v>المنتج الجيد قد يبدو راكدًا إن لم تظهر تحسينات حديثة للمستخدم.</x:v>
      </x:c>
      <x:c r="N25" s="22" t="str">
        <x:v>اعرض What's New موجزًا، وركز كل إصدار على فائدة ملموسة لا مجرد تغييرات تقنية.</x:v>
      </x:c>
      <x:c r="O25" s="22" t="str">
        <x:v>S08</x:v>
      </x:c>
    </x:row>
    <x:row r="26" ht="26.399999618530273" hidden="0" customHeight="1">
      <x:c r="A26" s="18" t="n">
        <x:v>25</x:v>
      </x:c>
      <x:c r="B26" s="18" t="str">
        <x:v>Mona Abdullah</x:v>
      </x:c>
      <x:c r="C26" s="19" t="n">
        <x:v>45923</x:v>
      </x:c>
      <x:c r="D26" s="18" t="n">
        <x:v>1</x:v>
      </x:c>
      <x:c r="E26" s="14" t="str">
        <x:v>للأسف الاذان يتأخر عن الوقت مع انه تم ضبط التوقيت تلقائي ويدوي ولم ينفع</x:v>
      </x:c>
      <x:c r="F26" s="22" t="str">
        <x:v>العربية</x:v>
      </x:c>
      <x:c r="G26" s="22" t="str">
        <x:v>كامل</x:v>
      </x:c>
      <x:c r="H26" s="22" t="str">
        <x:v>سلبي</x:v>
      </x:c>
      <x:c r="I26" s="22" t="str">
        <x:v>متوافق</x:v>
      </x:c>
      <x:c r="J26" s="22" t="str">
        <x:v>الأذان ومواقيت الصلاة</x:v>
      </x:c>
      <x:c r="K26" s="22" t="str">
        <x:v>فشل الضبط التلقائي واليدوي</x:v>
      </x:c>
      <x:c r="L26" s="22" t="str">
        <x:v>P0</x:v>
      </x:c>
      <x:c r="M26" s="22" t="str">
        <x:v>وجود إعدادات ضبط لا يفيد إذا لم تغيّر النتيجة؛ يجب أن تكون قابلة للتشخيص والتحقق.</x:v>
      </x:c>
      <x:c r="N26" s="22" t="str">
        <x:v>أظهر وقت النظام، المنطقة الزمنية، مصدر الموقع، طريقة الحساب، والـoffset الفعلي في شاشة تشخيص واحدة.</x:v>
      </x:c>
      <x:c r="O26" s="22" t="str">
        <x:v>S08</x:v>
      </x:c>
    </x:row>
    <x:row r="27" ht="26.399999618530273" hidden="0" customHeight="1">
      <x:c r="A27" s="18" t="n">
        <x:v>26</x:v>
      </x:c>
      <x:c r="B27" s="18" t="str">
        <x:v>Medo Wael</x:v>
      </x:c>
      <x:c r="C27" s="19" t="n">
        <x:v>45920</x:v>
      </x:c>
      <x:c r="D27" s="18" t="n">
        <x:v>1</x:v>
      </x:c>
      <x:c r="E27" s="14" t="str">
        <x:v>الاذان مبيشتغلش</x:v>
      </x:c>
      <x:c r="F27" s="22" t="str">
        <x:v>العربية</x:v>
      </x:c>
      <x:c r="G27" s="22" t="str">
        <x:v>كامل</x:v>
      </x:c>
      <x:c r="H27" s="22" t="str">
        <x:v>سلبي</x:v>
      </x:c>
      <x:c r="I27" s="22" t="str">
        <x:v>متوافق</x:v>
      </x:c>
      <x:c r="J27" s="22" t="str">
        <x:v>الأذان ومواقيت الصلاة</x:v>
      </x:c>
      <x:c r="K27" s="22" t="str">
        <x:v>عدم تشغيل الأذان</x:v>
      </x:c>
      <x:c r="L27" s="22" t="str">
        <x:v>P0</x:v>
      </x:c>
      <x:c r="M27" s="22" t="str">
        <x:v>فشل الأذان متكرر وليس حالة فردية في العينة، ما يجعله أكبر خطر تشغيلي.</x:v>
      </x:c>
      <x:c r="N27" s="22" t="str">
        <x:v>أنشئ telemetry خاصة بكل scheduled alarm وسبب عدم التشغيل، مع اختبار OEMs الشائعة في المنطقة.</x:v>
      </x:c>
      <x:c r="O27" s="22" t="str">
        <x:v>S08</x:v>
      </x:c>
    </x:row>
    <x:row r="28" ht="52.79999923706055" hidden="0" customHeight="1">
      <x:c r="A28" s="18" t="n">
        <x:v>27</x:v>
      </x:c>
      <x:c r="B28" s="18" t="str">
        <x:v>JUMA ALKHYELI</x:v>
      </x:c>
      <x:c r="C28" s="19" t="n">
        <x:v>45917</x:v>
      </x:c>
      <x:c r="D28" s="18" t="n">
        <x:v>1</x:v>
      </x:c>
      <x:c r="E28" s="14" t="str">
        <x:v>خطأ في الأجزاء لم يوجد خطأ في الختمة حيث ينتهي مثلا الجزء التاسع في آية 40 من سورة الأنفال و الجزء العاشر في الختمه يبدأ من آية رقم 55 تقريبا وربع حزب موجود في الختمه الرجاء المراجعه و التعديل ويمكن توجد نفس الأخطاء في باقي الأجزاء و شكرا</x:v>
      </x:c>
      <x:c r="F28" s="22" t="str">
        <x:v>العربية</x:v>
      </x:c>
      <x:c r="G28" s="22" t="str">
        <x:v>كامل تقريبًا</x:v>
      </x:c>
      <x:c r="H28" s="22" t="str">
        <x:v>سلبي</x:v>
      </x:c>
      <x:c r="I28" s="22" t="str">
        <x:v>متوافق</x:v>
      </x:c>
      <x:c r="J28" s="22" t="str">
        <x:v>سلامة نص القرآن والبيانات الدينية</x:v>
      </x:c>
      <x:c r="K28" s="22" t="str">
        <x:v>حدود الأجزاء والختمة</x:v>
      </x:c>
      <x:c r="L28" s="22" t="str">
        <x:v>P0 حرج</x:v>
      </x:c>
      <x:c r="M28" s="22" t="str">
        <x:v>صحة حدود الأجزاء والأحزاب جزء من نزاهة خطة الختمة، وليست metadata ثانوية.</x:v>
      </x:c>
      <x:c r="N28" s="22" t="str">
        <x:v>اختبر آليًا حدود كل جزء وحزب وربع مقابل مصدر رسمي، ولا تولّد خطة الورد من أرقام يدوية.</x:v>
      </x:c>
      <x:c r="O28" s="22" t="str">
        <x:v>S09</x:v>
      </x:c>
    </x:row>
    <x:row r="29" ht="26.399999618530273" hidden="0" customHeight="1">
      <x:c r="A29" s="18" t="n">
        <x:v>28</x:v>
      </x:c>
      <x:c r="B29" s="18" t="str">
        <x:v>Heba Mohamed</x:v>
      </x:c>
      <x:c r="C29" s="19" t="n">
        <x:v>45917</x:v>
      </x:c>
      <x:c r="D29" s="18" t="n">
        <x:v>1</x:v>
      </x:c>
      <x:c r="E29" s="14" t="str">
        <x:v>I didn't like it its not working with me</x:v>
      </x:c>
      <x:c r="F29" s="22" t="str">
        <x:v>الإنجليزية</x:v>
      </x:c>
      <x:c r="G29" s="22" t="str">
        <x:v>كامل</x:v>
      </x:c>
      <x:c r="H29" s="22" t="str">
        <x:v>سلبي</x:v>
      </x:c>
      <x:c r="I29" s="22" t="str">
        <x:v>متوافق</x:v>
      </x:c>
      <x:c r="J29" s="22" t="str">
        <x:v>الاستقرار والأعطال</x:v>
      </x:c>
      <x:c r="K29" s="22" t="str">
        <x:v>فشل عام غير محدد</x:v>
      </x:c>
      <x:c r="L29" s="22" t="str">
        <x:v>P1</x:v>
      </x:c>
      <x:c r="M29" s="22" t="str">
        <x:v>التعليق غير قابل للتشخيص؛ التطبيق يحتاج قناة بلاغ تجمع سياق الجهاز تلقائيًا.</x:v>
      </x:c>
      <x:c r="N29" s="22" t="str">
        <x:v>أضف «الإبلاغ عن مشكلة» يرفق الإصدار، النظام، آخر مسار، وأكواد الخطأ بموافقة المستخدم.</x:v>
      </x:c>
      <x:c r="O29" s="22" t="str">
        <x:v>S09</x:v>
      </x:c>
    </x:row>
    <x:row r="30" ht="26.399999618530273" hidden="0" customHeight="1">
      <x:c r="A30" s="18" t="n">
        <x:v>29</x:v>
      </x:c>
      <x:c r="B30" s="18" t="str">
        <x:v>Essawy Salahudin</x:v>
      </x:c>
      <x:c r="C30" s="19" t="n">
        <x:v>45900</x:v>
      </x:c>
      <x:c r="D30" s="18" t="n">
        <x:v>1</x:v>
      </x:c>
      <x:c r="E30" s="14" t="str">
        <x:v>الاذان لا يعمل بتاتا ماذا اعمل</x:v>
      </x:c>
      <x:c r="F30" s="22" t="str">
        <x:v>العربية</x:v>
      </x:c>
      <x:c r="G30" s="22" t="str">
        <x:v>كامل</x:v>
      </x:c>
      <x:c r="H30" s="22" t="str">
        <x:v>سلبي</x:v>
      </x:c>
      <x:c r="I30" s="22" t="str">
        <x:v>متوافق</x:v>
      </x:c>
      <x:c r="J30" s="22" t="str">
        <x:v>الأذان ومواقيت الصلاة</x:v>
      </x:c>
      <x:c r="K30" s="22" t="str">
        <x:v>عدم تشغيل الأذان</x:v>
      </x:c>
      <x:c r="L30" s="22" t="str">
        <x:v>P0</x:v>
      </x:c>
      <x:c r="M30" s="22" t="str">
        <x:v>المستخدم لا يعرف هل المشكلة صلاحية أم بطارية أم إعداد، ويحتاج مسار إصلاح ذاتي واضح.</x:v>
      </x:c>
      <x:c r="N30" s="22" t="str">
        <x:v>أنشئ Adhan Health Check يفحص الإشعارات، exact alarm، البطارية، الصوت، والمنطقة الزمنية ويعرض خطوات الإصلاح.</x:v>
      </x:c>
      <x:c r="O30" s="22" t="str">
        <x:v>S09</x:v>
      </x:c>
    </x:row>
    <x:row r="31" ht="66" hidden="0" customHeight="1">
      <x:c r="A31" s="18" t="n">
        <x:v>30</x:v>
      </x:c>
      <x:c r="B31" s="18" t="str">
        <x:v>غير ظاهر في الصورة</x:v>
      </x:c>
      <x:c r="C31" s="19" t="n">
        <x:v>45899</x:v>
      </x:c>
      <x:c r="D31" s="18" t="n">
        <x:v>1</x:v>
      </x:c>
      <x:c r="E31" s="14" t="str">
        <x:v>البرنامج أكثر من رائع، تظهر بين الفترة والثانية شاشة مزعجة لدعم التطبيق ومكتوب عليها لمرة واحدة، قمت بالدعم على أمل ارتاح من ظهور الشاشة لكن للأسف تستمر شاشة طلب الدعم في الظهور اللهم تم تقليل عدد ظهورها فقط للأسف، الوضوح والصدق زين من البداية وضحوا ان الشاشة المزعجة ستستمر في الظهور حتى بعد الدعم</x:v>
      </x:c>
      <x:c r="F31" s="22" t="str">
        <x:v>العربية</x:v>
      </x:c>
      <x:c r="G31" s="22" t="str">
        <x:v>كامل تقريبًا</x:v>
      </x:c>
      <x:c r="H31" s="22" t="str">
        <x:v>مختلط/سلبي</x:v>
      </x:c>
      <x:c r="I31" s="22" t="str">
        <x:v>متوافق</x:v>
      </x:c>
      <x:c r="J31" s="22" t="str">
        <x:v>الإعلانات/الدعم/الدفع</x:v>
      </x:c>
      <x:c r="K31" s="22" t="str">
        <x:v>شفافية طلب الدعم</x:v>
      </x:c>
      <x:c r="L31" s="22" t="str">
        <x:v>P1</x:v>
      </x:c>
      <x:c r="M31" s="22" t="str">
        <x:v>طلب الدعم المتكرر بعد الدفع يُفسَّر كخداع ويحوّل تجربة جيدة إلى نجمة واحدة.</x:v>
      </x:c>
      <x:c r="N31" s="22" t="str">
        <x:v>لا تعرض أي نافذة دعم متكررة بعد الشراء، واشرح بدقة ما الذي يزيله الدفع وما الذي لا يزيله.</x:v>
      </x:c>
      <x:c r="O31" s="22" t="str">
        <x:v>S10</x:v>
      </x:c>
    </x:row>
    <x:row r="32" ht="26.399999618530273" hidden="0" customHeight="1">
      <x:c r="A32" s="18" t="n">
        <x:v>31</x:v>
      </x:c>
      <x:c r="B32" s="18" t="str">
        <x:v>Rahma Ahmed</x:v>
      </x:c>
      <x:c r="C32" s="19" t="n">
        <x:v>45872</x:v>
      </x:c>
      <x:c r="D32" s="18" t="n">
        <x:v>1</x:v>
      </x:c>
      <x:c r="E32" s="14" t="str">
        <x:v>سي جدا مش بيأذن اصلا</x:v>
      </x:c>
      <x:c r="F32" s="22" t="str">
        <x:v>العربية</x:v>
      </x:c>
      <x:c r="G32" s="22" t="str">
        <x:v>كامل</x:v>
      </x:c>
      <x:c r="H32" s="22" t="str">
        <x:v>سلبي</x:v>
      </x:c>
      <x:c r="I32" s="22" t="str">
        <x:v>متوافق</x:v>
      </x:c>
      <x:c r="J32" s="22" t="str">
        <x:v>الأذان ومواقيت الصلاة</x:v>
      </x:c>
      <x:c r="K32" s="22" t="str">
        <x:v>عدم تشغيل الأذان</x:v>
      </x:c>
      <x:c r="L32" s="22" t="str">
        <x:v>P0</x:v>
      </x:c>
      <x:c r="M32" s="22" t="str">
        <x:v>تكرار نفس الشكوى بصيغ قصيرة يعني أن المشكلة تؤثر مباشرة في القيمة الأساسية.</x:v>
      </x:c>
      <x:c r="N32" s="22" t="str">
        <x:v>لا تسوّق الأذان كميزة أساسية قبل الوصول إلى معدل نجاح مقاس وموثوق عبر الأجهزة.</x:v>
      </x:c>
      <x:c r="O32" s="22" t="str">
        <x:v>S10</x:v>
      </x:c>
    </x:row>
    <x:row r="33" ht="26.399999618530273" hidden="0" customHeight="1">
      <x:c r="A33" s="18" t="n">
        <x:v>32</x:v>
      </x:c>
      <x:c r="B33" s="18" t="str">
        <x:v>Dr El-Sayed</x:v>
      </x:c>
      <x:c r="C33" s="19" t="n">
        <x:v>45869</x:v>
      </x:c>
      <x:c r="D33" s="18" t="n">
        <x:v>1</x:v>
      </x:c>
      <x:c r="E33" s="14" t="str">
        <x:v>!!!لماذا لا تبلغ ان التطبيق ليس مجاني؟ ان تبلغ ليس عيبا انما ليس جيدا ان اجد نفسي في ربع الختمه لما ادفع واما التوقف</x:v>
      </x:c>
      <x:c r="F33" s="22" t="str">
        <x:v>العربية</x:v>
      </x:c>
      <x:c r="G33" s="22" t="str">
        <x:v>كامل تقريبًا</x:v>
      </x:c>
      <x:c r="H33" s="22" t="str">
        <x:v>سلبي</x:v>
      </x:c>
      <x:c r="I33" s="22" t="str">
        <x:v>متوافق</x:v>
      </x:c>
      <x:c r="J33" s="22" t="str">
        <x:v>الإعلانات/الدعم/الدفع</x:v>
      </x:c>
      <x:c r="K33" s="22" t="str">
        <x:v>Paywall مفاجئ</x:v>
      </x:c>
      <x:c r="L33" s="22" t="str">
        <x:v>P1</x:v>
      </x:c>
      <x:c r="M33" s="22" t="str">
        <x:v>إظهار الدفع في منتصف رحلة الختمة يخلق إحساسًا بالاحتجاز وكسر الثقة.</x:v>
      </x:c>
      <x:c r="N33" s="22" t="str">
        <x:v>بيّن المجاني والمدفوع قبل بدء أي خطة طويلة، ولا تحجب استمرار ورد بدأه المستخدم دون إنذار صريح.</x:v>
      </x:c>
      <x:c r="O33" s="22" t="str">
        <x:v>S10</x:v>
      </x:c>
    </x:row>
    <x:row r="34" ht="26.399999618530273" hidden="0" customHeight="1">
      <x:c r="A34" s="18" t="n">
        <x:v>33</x:v>
      </x:c>
      <x:c r="B34" s="18" t="str">
        <x:v>غير ظاهر في الصورة</x:v>
      </x:c>
      <x:c r="C34" s="19" t="n">
        <x:v>45773</x:v>
      </x:c>
      <x:c r="D34" s="18" t="n">
        <x:v>1</x:v>
      </x:c>
      <x:c r="E34" s="14" t="str">
        <x:v>الأذان يؤذن بشكل غير كامل و في غير الوقت الصحيح</x:v>
      </x:c>
      <x:c r="F34" s="22" t="str">
        <x:v>العربية</x:v>
      </x:c>
      <x:c r="G34" s="22" t="str">
        <x:v>كامل</x:v>
      </x:c>
      <x:c r="H34" s="22" t="str">
        <x:v>سلبي</x:v>
      </x:c>
      <x:c r="I34" s="22" t="str">
        <x:v>متوافق</x:v>
      </x:c>
      <x:c r="J34" s="22" t="str">
        <x:v>الأذان ومواقيت الصلاة</x:v>
      </x:c>
      <x:c r="K34" s="22" t="str">
        <x:v>صوت غير كامل وتوقيت خاطئ</x:v>
      </x:c>
      <x:c r="L34" s="22" t="str">
        <x:v>P0</x:v>
      </x:c>
      <x:c r="M34" s="22" t="str">
        <x:v>هناك بُعدان مستقلان يجب اختبارهـما: صحة توقيت الإطلاق واكتمال تشغيل ملف الأذان.</x:v>
      </x:c>
      <x:c r="N34" s="22" t="str">
        <x:v>اختبر audio focus، مدة الملف، إيقاف النظام للخدمة، ودقة الجدولة كلٌ على حدة.</x:v>
      </x:c>
      <x:c r="O34" s="22" t="str">
        <x:v>S11</x:v>
      </x:c>
    </x:row>
    <x:row r="35" ht="26.399999618530273" hidden="0" customHeight="1">
      <x:c r="A35" s="18" t="n">
        <x:v>34</x:v>
      </x:c>
      <x:c r="B35" s="18" t="str">
        <x:v>Amenallah Yaich</x:v>
      </x:c>
      <x:c r="C35" s="19" t="n">
        <x:v>45739</x:v>
      </x:c>
      <x:c r="D35" s="18" t="n">
        <x:v>1</x:v>
      </x:c>
      <x:c r="E35" s="14" t="str">
        <x:v>there quran is not fully correct</x:v>
      </x:c>
      <x:c r="F35" s="22" t="str">
        <x:v>الإنجليزية</x:v>
      </x:c>
      <x:c r="G35" s="22" t="str">
        <x:v>كامل</x:v>
      </x:c>
      <x:c r="H35" s="22" t="str">
        <x:v>سلبي</x:v>
      </x:c>
      <x:c r="I35" s="22" t="str">
        <x:v>متوافق</x:v>
      </x:c>
      <x:c r="J35" s="22" t="str">
        <x:v>سلامة نص القرآن والبيانات الدينية</x:v>
      </x:c>
      <x:c r="K35" s="22" t="str">
        <x:v>صحة المصحف</x:v>
      </x:c>
      <x:c r="L35" s="22" t="str">
        <x:v>P0 حرج</x:v>
      </x:c>
      <x:c r="M35" s="22" t="str">
        <x:v>حتى البلاغ غير المحدد عن صحة القرآن يستوجب تصعيدًا وتحقيقًا لا ردًا عامًا.</x:v>
      </x:c>
      <x:c r="N35" s="22" t="str">
        <x:v>اجعل بلاغات المصحف فئة حرجة مع نموذج يطلب السورة والآية ولقطة ويعطي رقم متابعة.</x:v>
      </x:c>
      <x:c r="O35" s="22" t="str">
        <x:v>S11</x:v>
      </x:c>
    </x:row>
    <x:row r="36" ht="26.399999618530273" hidden="0" customHeight="1">
      <x:c r="A36" s="18" t="n">
        <x:v>35</x:v>
      </x:c>
      <x:c r="B36" s="18" t="str">
        <x:v>Grand Galaxy</x:v>
      </x:c>
      <x:c r="C36" s="19" t="n">
        <x:v>45731</x:v>
      </x:c>
      <x:c r="D36" s="18" t="n">
        <x:v>1</x:v>
      </x:c>
      <x:c r="E36" s="14" t="str">
        <x:v>للأسف لم يكن كما توقعت بتاتا فالقراءات عنده لا تعمل</x:v>
      </x:c>
      <x:c r="F36" s="22" t="str">
        <x:v>العربية</x:v>
      </x:c>
      <x:c r="G36" s="22" t="str">
        <x:v>كامل تقريبًا</x:v>
      </x:c>
      <x:c r="H36" s="22" t="str">
        <x:v>سلبي</x:v>
      </x:c>
      <x:c r="I36" s="22" t="str">
        <x:v>متوافق</x:v>
      </x:c>
      <x:c r="J36" s="22" t="str">
        <x:v>الصوت والتلاوة</x:v>
      </x:c>
      <x:c r="K36" s="22" t="str">
        <x:v>القراءات لا تعمل</x:v>
      </x:c>
      <x:c r="L36" s="22" t="str">
        <x:v>P1</x:v>
      </x:c>
      <x:c r="M36" s="22" t="str">
        <x:v>ميزة التلاوة إن بدت متاحة ثم فشلت أسوأ من عدم وجودها؛ التوقع تم تكوينه ثم كسره.</x:v>
      </x:c>
      <x:c r="N36" s="22" t="str">
        <x:v>أضف تحققًا من الروابط والتنزيلات، fallback للقارئ، وإظهار حالة الخطأ مع إعادة المحاولة.</x:v>
      </x:c>
      <x:c r="O36" s="22" t="str">
        <x:v>S11</x:v>
      </x:c>
    </x:row>
    <x:row r="37" ht="26.399999618530273" hidden="0" customHeight="1">
      <x:c r="A37" s="18" t="n">
        <x:v>36</x:v>
      </x:c>
      <x:c r="B37" s="18" t="str">
        <x:v>مصطفى الليلي</x:v>
      </x:c>
      <x:c r="C37" s="19"/>
      <x:c r="D37" s="18" t="n">
        <x:v>1</x:v>
      </x:c>
      <x:c r="E37" s="14" t="str">
        <x:v>لا يقوم بالتنبيه لوقت الصلاة في أوقات كثيرة وكذلك الميعاد يكون متأخر عن موعد الاذان الصحيح</x:v>
      </x:c>
      <x:c r="F37" s="22" t="str">
        <x:v>العربية</x:v>
      </x:c>
      <x:c r="G37" s="22" t="str">
        <x:v>كامل؛ التاريخ غير ظاهر</x:v>
      </x:c>
      <x:c r="H37" s="22" t="str">
        <x:v>سلبي</x:v>
      </x:c>
      <x:c r="I37" s="22" t="str">
        <x:v>متوافق</x:v>
      </x:c>
      <x:c r="J37" s="22" t="str">
        <x:v>الأذان ومواقيت الصلاة</x:v>
      </x:c>
      <x:c r="K37" s="22" t="str">
        <x:v>تنبيهات مفقودة وتوقيت متأخر</x:v>
      </x:c>
      <x:c r="L37" s="22" t="str">
        <x:v>P0</x:v>
      </x:c>
      <x:c r="M37" s="22" t="str">
        <x:v>مشاكل الأذان تشمل الفشل الكامل والفشل المتقطع والتأخير، ويجب قياس كل نوع على حدة.</x:v>
      </x:c>
      <x:c r="N37" s="22" t="str">
        <x:v>سجّل outcome لكل تنبيه: scheduled, delivered, started audio, completed audio، مع سبب الفشل.</x:v>
      </x:c>
      <x:c r="O37" s="22" t="str">
        <x:v>S11,S12</x:v>
      </x:c>
    </x:row>
    <x:row r="38" ht="26.399999618530273" hidden="0" customHeight="1">
      <x:c r="A38" s="18" t="n">
        <x:v>37</x:v>
      </x:c>
      <x:c r="B38" s="18" t="str">
        <x:v>oz manic</x:v>
      </x:c>
      <x:c r="C38" s="19" t="n">
        <x:v>45721</x:v>
      </x:c>
      <x:c r="D38" s="18" t="n">
        <x:v>1</x:v>
      </x:c>
      <x:c r="E38" s="14" t="str">
        <x:v>ماني عارف ليه كل مره ادخل التطبيق يطلبني ان ادعمه ؟؟؟؟؟؟</x:v>
      </x:c>
      <x:c r="F38" s="22" t="str">
        <x:v>العربية</x:v>
      </x:c>
      <x:c r="G38" s="22" t="str">
        <x:v>كامل</x:v>
      </x:c>
      <x:c r="H38" s="22" t="str">
        <x:v>سلبي</x:v>
      </x:c>
      <x:c r="I38" s="22" t="str">
        <x:v>متوافق</x:v>
      </x:c>
      <x:c r="J38" s="22" t="str">
        <x:v>الإعلانات/الدعم/الدفع</x:v>
      </x:c>
      <x:c r="K38" s="22" t="str">
        <x:v>نافذة متكررة</x:v>
      </x:c>
      <x:c r="L38" s="22" t="str">
        <x:v>P1</x:v>
      </x:c>
      <x:c r="M38" s="22" t="str">
        <x:v>الطلب المتكرر يقطع الاستخدام اليومي ويجعل المنتج يبدو عدوانيًا.</x:v>
      </x:c>
      <x:c r="N38" s="22" t="str">
        <x:v>استخدم frequency cap صارمًا، زر «لا تعرض مجددًا»، ولا تظهر أي طلب أثناء القراءة أو الذكر.</x:v>
      </x:c>
      <x:c r="O38" s="22" t="str">
        <x:v>S12</x:v>
      </x:c>
    </x:row>
    <x:row r="39" ht="26.399999618530273" hidden="0" customHeight="1">
      <x:c r="A39" s="18" t="n">
        <x:v>38</x:v>
      </x:c>
      <x:c r="B39" s="18" t="str">
        <x:v>Sinner</x:v>
      </x:c>
      <x:c r="C39" s="19" t="n">
        <x:v>45716</x:v>
      </x:c>
      <x:c r="D39" s="18" t="n">
        <x:v>1</x:v>
      </x:c>
      <x:c r="E39" s="14" t="str">
        <x:v>Ads.</x:v>
      </x:c>
      <x:c r="F39" s="22" t="str">
        <x:v>الإنجليزية</x:v>
      </x:c>
      <x:c r="G39" s="22" t="str">
        <x:v>كامل</x:v>
      </x:c>
      <x:c r="H39" s="22" t="str">
        <x:v>سلبي</x:v>
      </x:c>
      <x:c r="I39" s="22" t="str">
        <x:v>متوافق</x:v>
      </x:c>
      <x:c r="J39" s="22" t="str">
        <x:v>الإعلانات/الدعم/الدفع</x:v>
      </x:c>
      <x:c r="K39" s="22" t="str">
        <x:v>الإعلانات</x:v>
      </x:c>
      <x:c r="L39" s="22" t="str">
        <x:v>فرصة عالية</x:v>
      </x:c>
      <x:c r="M39" s="22" t="str">
        <x:v>كلمة واحدة كافية لنجمة واحدة؛ «بدون إعلانات» ميزة تنافسية قوية لـ MeMuslim.</x:v>
      </x:c>
      <x:c r="N39" s="22" t="str">
        <x:v>حافظ على عدم وجود الإعلانات واظهر ذلك كميزة أساسية، مع فصل أي خدمات مدفوعة بوضوح.</x:v>
      </x:c>
      <x:c r="O39" s="22" t="str">
        <x:v>S12</x:v>
      </x:c>
    </x:row>
    <x:row r="40" ht="26.399999618530273" hidden="0" customHeight="1">
      <x:c r="A40" s="18" t="n">
        <x:v>39</x:v>
      </x:c>
      <x:c r="B40" s="18" t="str">
        <x:v>chahla khelifi</x:v>
      </x:c>
      <x:c r="C40" s="19" t="n">
        <x:v>45711</x:v>
      </x:c>
      <x:c r="D40" s="18" t="n">
        <x:v>1</x:v>
      </x:c>
      <x:c r="E40" s="14" t="str">
        <x:v>هذا لمن يقرأ بحفص... لكن توجد روايات اخرى كورش وقالون... ارجو اضافة اختيار الرواية بعين الاعتبار</x:v>
      </x:c>
      <x:c r="F40" s="22" t="str">
        <x:v>العربية</x:v>
      </x:c>
      <x:c r="G40" s="22" t="str">
        <x:v>كامل</x:v>
      </x:c>
      <x:c r="H40" s="22" t="str">
        <x:v>سلبي/طلب</x:v>
      </x:c>
      <x:c r="I40" s="22" t="str">
        <x:v>متوافق</x:v>
      </x:c>
      <x:c r="J40" s="22" t="str">
        <x:v>القراءات والروايات</x:v>
      </x:c>
      <x:c r="K40" s="22" t="str">
        <x:v>ورش وقالون</x:v>
      </x:c>
      <x:c r="L40" s="22" t="str">
        <x:v>P2 استراتيجي</x:v>
      </x:c>
      <x:c r="M40" s="22" t="str">
        <x:v>الاكتفاء بحفص يحد التبني في المغرب العربي، حيث الرواية جزء من ملاءمة السوق.</x:v>
      </x:c>
      <x:c r="N40" s="22" t="str">
        <x:v>صمّم طبقة بيانات تدعم الروايات من البداية، وابدأ بورش عند استهداف المغرب العربي بعد اعتماد المصادر.</x:v>
      </x:c>
      <x:c r="O40" s="22" t="str">
        <x:v>S12,S13</x:v>
      </x:c>
    </x:row>
    <x:row r="41" ht="26.399999618530273" hidden="0" customHeight="1">
      <x:c r="A41" s="18" t="n">
        <x:v>40</x:v>
      </x:c>
      <x:c r="B41" s="18" t="str">
        <x:v>tchakal dragon</x:v>
      </x:c>
      <x:c r="C41" s="19" t="n">
        <x:v>45711</x:v>
      </x:c>
      <x:c r="D41" s="18" t="n">
        <x:v>1</x:v>
      </x:c>
      <x:c r="E41" s="14" t="str">
        <x:v>نحن المغاربة نعتمد رواية ورش.. و التطبيق برواية حفص.. انا مضطر لابحث عن تطبيق آخر.. على كل حال جزاكم الله خيرا على مجهوداتكم</x:v>
      </x:c>
      <x:c r="F41" s="22" t="str">
        <x:v>العربية</x:v>
      </x:c>
      <x:c r="G41" s="22" t="str">
        <x:v>كامل</x:v>
      </x:c>
      <x:c r="H41" s="22" t="str">
        <x:v>سلبي/طلب</x:v>
      </x:c>
      <x:c r="I41" s="22" t="str">
        <x:v>متوافق</x:v>
      </x:c>
      <x:c r="J41" s="22" t="str">
        <x:v>القراءات والروايات</x:v>
      </x:c>
      <x:c r="K41" s="22" t="str">
        <x:v>ملاءمة المغرب العربي</x:v>
      </x:c>
      <x:c r="L41" s="22" t="str">
        <x:v>P2 استراتيجي</x:v>
      </x:c>
      <x:c r="M41" s="22" t="str">
        <x:v>غياب الرواية المحلية سبب مباشر للانتقال إلى منافس، لا مجرد طلب لطيف.</x:v>
      </x:c>
      <x:c r="N41" s="22" t="str">
        <x:v>اربط توسيع الروايات بخطة دخول الأسواق، ولا تدّع دعم بلد قبل دعم روايته الشائعة.</x:v>
      </x:c>
      <x:c r="O41" s="22" t="str">
        <x:v>S13</x:v>
      </x:c>
    </x:row>
    <x:row r="42" ht="26.399999618530273" hidden="0" customHeight="1">
      <x:c r="A42" s="18" t="n">
        <x:v>41</x:v>
      </x:c>
      <x:c r="B42" s="18" t="str">
        <x:v>Masa Hossam</x:v>
      </x:c>
      <x:c r="C42" s="19" t="n">
        <x:v>45710</x:v>
      </x:c>
      <x:c r="D42" s="18" t="n">
        <x:v>1</x:v>
      </x:c>
      <x:c r="E42" s="14" t="str">
        <x:v>ممتاز و في كل حاجه</x:v>
      </x:c>
      <x:c r="F42" s="22" t="str">
        <x:v>العربية</x:v>
      </x:c>
      <x:c r="G42" s="22" t="str">
        <x:v>كامل</x:v>
      </x:c>
      <x:c r="H42" s="22" t="str">
        <x:v>إيجابي</x:v>
      </x:c>
      <x:c r="I42" s="22" t="str">
        <x:v>غير متوافق (نص إيجابي مع نجمة واحدة)</x:v>
      </x:c>
      <x:c r="J42" s="22" t="str">
        <x:v>القيمة الشاملة/كل شيء في مكان واحد</x:v>
      </x:c>
      <x:c r="K42" s="22" t="str">
        <x:v>مشكلة في فهم/اختيار التقييم</x:v>
      </x:c>
      <x:c r="L42" s="22" t="str">
        <x:v>P1</x:v>
      </x:c>
      <x:c r="M42" s="22" t="str">
        <x:v>توجد إشادة واضحة بالشمولية رغم النجمة الواحدة، ما يشوّه متوسط التقييم.</x:v>
      </x:c>
      <x:c r="N42" s="22" t="str">
        <x:v>راقب التقييمات النصية المتناقضة وردّ بلطف لتأكيد إن كان التقييم مقصودًا.</x:v>
      </x:c>
      <x:c r="O42" s="22" t="str">
        <x:v>S13</x:v>
      </x:c>
    </x:row>
    <x:row r="43" ht="26.399999618530273" hidden="0" customHeight="1">
      <x:c r="A43" s="18" t="n">
        <x:v>42</x:v>
      </x:c>
      <x:c r="B43" s="18" t="str">
        <x:v>Omar Ahmed</x:v>
      </x:c>
      <x:c r="C43" s="19" t="n">
        <x:v>45690</x:v>
      </x:c>
      <x:c r="D43" s="18" t="n">
        <x:v>1</x:v>
      </x:c>
      <x:c r="E43" s="14" t="str">
        <x:v>سيء لماذا لو لم افتح التطبيق لن يؤذن انا لم افتحه في خلال أسبوع واحد وبعدها لم يؤذن</x:v>
      </x:c>
      <x:c r="F43" s="22" t="str">
        <x:v>العربية</x:v>
      </x:c>
      <x:c r="G43" s="22" t="str">
        <x:v>كامل تقريبًا</x:v>
      </x:c>
      <x:c r="H43" s="22" t="str">
        <x:v>سلبي</x:v>
      </x:c>
      <x:c r="I43" s="22" t="str">
        <x:v>متوافق</x:v>
      </x:c>
      <x:c r="J43" s="22" t="str">
        <x:v>الأذان ومواقيت الصلاة</x:v>
      </x:c>
      <x:c r="K43" s="22" t="str">
        <x:v>العمل في الخلفية</x:v>
      </x:c>
      <x:c r="L43" s="22" t="str">
        <x:v>P0</x:v>
      </x:c>
      <x:c r="M43" s="22" t="str">
        <x:v>اعتماد الأذان على فتح التطبيق دوريًا يكسر الوعد الأساسي ويظهر بعد أيام لا في اختبار قصير.</x:v>
      </x:c>
      <x:c r="N43" s="22" t="str">
        <x:v>اختبر الجدولة عبر 7-14 يومًا دون فتح التطبيق، بعد إعادة التشغيل وتحديث النظام وتوفير البطارية.</x:v>
      </x:c>
      <x:c r="O43" s="22" t="str">
        <x:v>S14</x:v>
      </x:c>
    </x:row>
    <x:row r="44" ht="26.399999618530273" hidden="0" customHeight="1">
      <x:c r="A44" s="18" t="n">
        <x:v>43</x:v>
      </x:c>
      <x:c r="B44" s="18" t="str">
        <x:v>asmaa abdelhamid</x:v>
      </x:c>
      <x:c r="C44" s="19" t="n">
        <x:v>45682</x:v>
      </x:c>
      <x:c r="D44" s="18" t="n">
        <x:v>1</x:v>
      </x:c>
      <x:c r="E44" s="14" t="str">
        <x:v>بقى سيئ</x:v>
      </x:c>
      <x:c r="F44" s="22" t="str">
        <x:v>العربية</x:v>
      </x:c>
      <x:c r="G44" s="22" t="str">
        <x:v>كامل</x:v>
      </x:c>
      <x:c r="H44" s="22" t="str">
        <x:v>سلبي</x:v>
      </x:c>
      <x:c r="I44" s="22" t="str">
        <x:v>متوافق</x:v>
      </x:c>
      <x:c r="J44" s="22" t="str">
        <x:v>تراجع الجودة بعد تحديث</x:v>
      </x:c>
      <x:c r="K44" s="22" t="str">
        <x:v>تقييم عام</x:v>
      </x:c>
      <x:c r="L44" s="22" t="str">
        <x:v>P1</x:v>
      </x:c>
      <x:c r="M44" s="22" t="str">
        <x:v>انطباع «كان جيدًا ثم ساء» أخطر من ضعف البداية، وقد يشير إلى regression.</x:v>
      </x:c>
      <x:c r="N44" s="22" t="str">
        <x:v>اربط كل إصدار بمراقبة crash-free وretention والتقييمات، مع rollback أو hotfix سريع.</x:v>
      </x:c>
      <x:c r="O44" s="22" t="str">
        <x:v>S14</x:v>
      </x:c>
    </x:row>
    <x:row r="45" ht="26.399999618530273" hidden="0" customHeight="1">
      <x:c r="A45" s="18" t="n">
        <x:v>44</x:v>
      </x:c>
      <x:c r="B45" s="18" t="str">
        <x:v>Aprar Gamal</x:v>
      </x:c>
      <x:c r="C45" s="19" t="n">
        <x:v>45680</x:v>
      </x:c>
      <x:c r="D45" s="18" t="n">
        <x:v>1</x:v>
      </x:c>
      <x:c r="E45" s="14" t="str">
        <x:v>الاذان بطل يشتغل</x:v>
      </x:c>
      <x:c r="F45" s="22" t="str">
        <x:v>العربية</x:v>
      </x:c>
      <x:c r="G45" s="22" t="str">
        <x:v>كامل</x:v>
      </x:c>
      <x:c r="H45" s="22" t="str">
        <x:v>سلبي</x:v>
      </x:c>
      <x:c r="I45" s="22" t="str">
        <x:v>متوافق</x:v>
      </x:c>
      <x:c r="J45" s="22" t="str">
        <x:v>الأذان ومواقيت الصلاة</x:v>
      </x:c>
      <x:c r="K45" s="22" t="str">
        <x:v>Regression</x:v>
      </x:c>
      <x:c r="L45" s="22" t="str">
        <x:v>P0</x:v>
      </x:c>
      <x:c r="M45" s="22" t="str">
        <x:v>توقف الأذان بعد أن كان يعمل يدل على regression أو صلاحية/جدولة تنتهي مع الوقت.</x:v>
      </x:c>
      <x:c r="N45" s="22" t="str">
        <x:v>أضف اختبارات ترقية من النسخ السابقة واختبارات إعادة جدولة بعد update/reboot/timezone change.</x:v>
      </x:c>
      <x:c r="O45" s="22" t="str">
        <x:v>S14</x:v>
      </x:c>
    </x:row>
    <x:row r="46" ht="26.399999618530273" hidden="0" customHeight="1">
      <x:c r="A46" s="18" t="n">
        <x:v>45</x:v>
      </x:c>
      <x:c r="B46" s="18" t="str">
        <x:v>غير ظاهر في الصورة</x:v>
      </x:c>
      <x:c r="C46" s="19" t="n">
        <x:v>45671</x:v>
      </x:c>
      <x:c r="D46" s="18" t="n">
        <x:v>1</x:v>
      </x:c>
      <x:c r="E46" s="14" t="str">
        <x:v>وجدت خطأ: سورة الزخرف الآية ٢٢ «على آثارهم مهتدون».</x:v>
      </x:c>
      <x:c r="F46" s="22" t="str">
        <x:v>العربية</x:v>
      </x:c>
      <x:c r="G46" s="22" t="str">
        <x:v>كامل تقريبًا</x:v>
      </x:c>
      <x:c r="H46" s="22" t="str">
        <x:v>سلبي</x:v>
      </x:c>
      <x:c r="I46" s="22" t="str">
        <x:v>متوافق</x:v>
      </x:c>
      <x:c r="J46" s="22" t="str">
        <x:v>سلامة نص القرآن والبيانات الدينية</x:v>
      </x:c>
      <x:c r="K46" s="22" t="str">
        <x:v>بلاغ آية محددة</x:v>
      </x:c>
      <x:c r="L46" s="22" t="str">
        <x:v>P0 حرج</x:v>
      </x:c>
      <x:c r="M46" s="22" t="str">
        <x:v>البلاغ المحدد يجب أن يمكن التحقق منه بسرعة وإرجاع نتيجة للمستخدم.</x:v>
      </x:c>
      <x:c r="N46" s="22" t="str">
        <x:v>احتفظ بنسخة مصدر مرجعية قابلة للمقارنة آليًا، واسمح بربط البلاغ مباشرة بالآية.</x:v>
      </x:c>
      <x:c r="O46" s="22" t="str">
        <x:v>S15</x:v>
      </x:c>
    </x:row>
    <x:row r="47" ht="39.599998474121094" hidden="0" customHeight="1">
      <x:c r="A47" s="18" t="n">
        <x:v>46</x:v>
      </x:c>
      <x:c r="B47" s="18" t="str">
        <x:v>Mostafa Mahmoud</x:v>
      </x:c>
      <x:c r="C47" s="19" t="n">
        <x:v>45661</x:v>
      </x:c>
      <x:c r="D47" s="18" t="n">
        <x:v>1</x:v>
      </x:c>
      <x:c r="E47" s="14" t="str">
        <x:v>التحري الدقة في الآيات القرآنية والمراجعة الدقيقة في قوله تعالى قال رب إني أعوذ بك أن أسألك ما ليس لي به علم وإلا تغفر لي وترحمني أكن من الخاسرين هود ٤٧ وليس ١٤٧ كما في التطبيق</x:v>
      </x:c>
      <x:c r="F47" s="22" t="str">
        <x:v>العربية</x:v>
      </x:c>
      <x:c r="G47" s="22" t="str">
        <x:v>كامل</x:v>
      </x:c>
      <x:c r="H47" s="22" t="str">
        <x:v>سلبي</x:v>
      </x:c>
      <x:c r="I47" s="22" t="str">
        <x:v>متوافق</x:v>
      </x:c>
      <x:c r="J47" s="22" t="str">
        <x:v>سلامة نص القرآن والبيانات الدينية</x:v>
      </x:c>
      <x:c r="K47" s="22" t="str">
        <x:v>رقم آية خاطئ</x:v>
      </x:c>
      <x:c r="L47" s="22" t="str">
        <x:v>P0 حرج</x:v>
      </x:c>
      <x:c r="M47" s="22" t="str">
        <x:v>حتى لو كان النص صحيحًا، خطأ رقم الآية يضر الاستشهاد والخطط والبحث والمشاركة.</x:v>
      </x:c>
      <x:c r="N47" s="22" t="str">
        <x:v>اختبر أرقام الآيات والسور والعلاقات بينها من مصدر موثوق، ولا تستخدم إدخالات يدوية.</x:v>
      </x:c>
      <x:c r="O47" s="22" t="str">
        <x:v>S15</x:v>
      </x:c>
    </x:row>
    <x:row r="48" ht="26.399999618530273" hidden="0" customHeight="1">
      <x:c r="A48" s="18" t="n">
        <x:v>47</x:v>
      </x:c>
      <x:c r="B48" s="18" t="str">
        <x:v>Atif Bashab</x:v>
      </x:c>
      <x:c r="C48" s="19" t="n">
        <x:v>45646</x:v>
      </x:c>
      <x:c r="D48" s="18" t="n">
        <x:v>1</x:v>
      </x:c>
      <x:c r="E48" s="14" t="str">
        <x:v>ممتاز</x:v>
      </x:c>
      <x:c r="F48" s="22" t="str">
        <x:v>العربية</x:v>
      </x:c>
      <x:c r="G48" s="22" t="str">
        <x:v>كامل</x:v>
      </x:c>
      <x:c r="H48" s="22" t="str">
        <x:v>إيجابي</x:v>
      </x:c>
      <x:c r="I48" s="22" t="str">
        <x:v>غير متوافق (نص إيجابي مع نجمة واحدة)</x:v>
      </x:c>
      <x:c r="J48" s="22" t="str">
        <x:v>تقييم عام</x:v>
      </x:c>
      <x:c r="K48" s="22" t="str">
        <x:v>مشكلة في فهم/اختيار التقييم</x:v>
      </x:c>
      <x:c r="L48" s="22" t="str">
        <x:v>P1</x:v>
      </x:c>
      <x:c r="M48" s="22" t="str">
        <x:v>مثال إضافي على أن تحليل النجوم دون النص يضلل قرارات المنتج.</x:v>
      </x:c>
      <x:c r="N48" s="22" t="str">
        <x:v>اعرض في تحليلات MeMuslim مؤشر «عدم توافق النجوم مع النص» لمراجعة الحالات يدويًا.</x:v>
      </x:c>
      <x:c r="O48" s="22" t="str">
        <x:v>S15</x:v>
      </x:c>
    </x:row>
    <x:row r="49" ht="52.79999923706055" hidden="0" customHeight="1">
      <x:c r="A49" s="18" t="n">
        <x:v>48</x:v>
      </x:c>
      <x:c r="B49" s="18" t="str">
        <x:v>Sa'ada Abdillahi</x:v>
      </x:c>
      <x:c r="C49" s="19" t="n">
        <x:v>46202</x:v>
      </x:c>
      <x:c r="D49" s="18" t="n">
        <x:v>5</x:v>
      </x:c>
      <x:c r="E49" s="14" t="str">
        <x:v>The app is a topnotch. However, I would suggest adding widgets concerning the main topic of the app which are Khatmas (daily readings). The existing widgets are very important for me and the missing ones are a must as well.</x:v>
      </x:c>
      <x:c r="F49" s="22" t="str">
        <x:v>الإنجليزية</x:v>
      </x:c>
      <x:c r="G49" s="22" t="str">
        <x:v>كامل</x:v>
      </x:c>
      <x:c r="H49" s="22" t="str">
        <x:v>مختلط/طلب</x:v>
      </x:c>
      <x:c r="I49" s="22" t="str">
        <x:v>متوافق</x:v>
      </x:c>
      <x:c r="J49" s="22" t="str">
        <x:v>الويدجت والتتبع</x:v>
      </x:c>
      <x:c r="K49" s="22" t="str">
        <x:v>الختمة والورد اليومي</x:v>
      </x:c>
      <x:c r="L49" s="22" t="str">
        <x:v>P1</x:v>
      </x:c>
      <x:c r="M49" s="22" t="str">
        <x:v>الويدجت ليست زينة؛ هي امتداد للحلقة اليومية وتذكّر المستخدم بالورد دون فتح التطبيق.</x:v>
      </x:c>
      <x:c r="N49" s="22" t="str">
        <x:v>أعطِ أولوية لويدجت «ورد اليوم» مع التقدم وزر المتابعة، بجانب الصلاة والآية.</x:v>
      </x:c>
      <x:c r="O49" s="22" t="str">
        <x:v>S16</x:v>
      </x:c>
    </x:row>
    <x:row r="50" ht="26.399999618530273" hidden="0" customHeight="1">
      <x:c r="A50" s="18" t="n">
        <x:v>49</x:v>
      </x:c>
      <x:c r="B50" s="18" t="str">
        <x:v>YAZID Rawas</x:v>
      </x:c>
      <x:c r="C50" s="19" t="n">
        <x:v>46202</x:v>
      </x:c>
      <x:c r="D50" s="18" t="n">
        <x:v>5</x:v>
      </x:c>
      <x:c r="E50" s="14" t="str">
        <x:v>all in one</x:v>
      </x:c>
      <x:c r="F50" s="22" t="str">
        <x:v>الإنجليزية</x:v>
      </x:c>
      <x:c r="G50" s="22" t="str">
        <x:v>كامل</x:v>
      </x:c>
      <x:c r="H50" s="22" t="str">
        <x:v>إيجابي</x:v>
      </x:c>
      <x:c r="I50" s="22" t="str">
        <x:v>متوافق</x:v>
      </x:c>
      <x:c r="J50" s="22" t="str">
        <x:v>القيمة الشاملة/كل شيء في مكان واحد</x:v>
      </x:c>
      <x:c r="K50" s="22" t="str"/>
      <x:c r="L50" s="22" t="str">
        <x:v>فرصة متوسطة</x:v>
      </x:c>
      <x:c r="M50" s="22" t="str">
        <x:v>المنتج الشامل جذاب، لكن يجب حماية البساطة وتحديد مدخل يومي واحد.</x:v>
      </x:c>
      <x:c r="N50" s="22" t="str">
        <x:v>استخدم Home موجهًا بالوقت بدل شبكة خصائص فقط.</x:v>
      </x:c>
      <x:c r="O50" s="22" t="str">
        <x:v>S16</x:v>
      </x:c>
    </x:row>
    <x:row r="51" ht="15" hidden="0" customHeight="1">
      <x:c r="A51" s="18" t="n">
        <x:v>50</x:v>
      </x:c>
      <x:c r="B51" s="18" t="str">
        <x:v>Reem Tasse</x:v>
      </x:c>
      <x:c r="C51" s="19" t="n">
        <x:v>46202</x:v>
      </x:c>
      <x:c r="D51" s="18" t="n">
        <x:v>5</x:v>
      </x:c>
      <x:c r="E51" s="14" t="str">
        <x:v>I lovvvve it</x:v>
      </x:c>
      <x:c r="F51" s="22" t="str">
        <x:v>الإنجليزية</x:v>
      </x:c>
      <x:c r="G51" s="22" t="str">
        <x:v>كامل</x:v>
      </x:c>
      <x:c r="H51" s="22" t="str">
        <x:v>إيجابي</x:v>
      </x:c>
      <x:c r="I51" s="22" t="str">
        <x:v>متوافق</x:v>
      </x:c>
      <x:c r="J51" s="22" t="str">
        <x:v>تقييم عام</x:v>
      </x:c>
      <x:c r="K51" s="22" t="str"/>
      <x:c r="L51" s="22" t="str">
        <x:v>إشارة عامة</x:v>
      </x:c>
      <x:c r="M51" s="22" t="str">
        <x:v>إعجاب عاطفي قوي، لكنه لا يكشف الميزة المسؤولة عنه.</x:v>
      </x:c>
      <x:c r="N51" s="22" t="str">
        <x:v>اجمع event feedback اختياريًا بعد الإنجاز لفهم دوافع المحبة والاحتفاظ.</x:v>
      </x:c>
      <x:c r="O51" s="22" t="str">
        <x:v>S16</x:v>
      </x:c>
    </x:row>
    <x:row r="52" ht="26.399999618530273" hidden="0" customHeight="1">
      <x:c r="A52" s="18" t="n">
        <x:v>51</x:v>
      </x:c>
      <x:c r="B52" s="18" t="str">
        <x:v>Fouad Youssef</x:v>
      </x:c>
      <x:c r="C52" s="19" t="n">
        <x:v>46199</x:v>
      </x:c>
      <x:c r="D52" s="18" t="n">
        <x:v>5</x:v>
      </x:c>
      <x:c r="E52" s="14" t="str">
        <x:v>تطبيق ممتاز ان امكن اضافة ميزة تتبع ايام الالتزام بالورد ستكون اضافة أكثر من رائعة</x:v>
      </x:c>
      <x:c r="F52" s="22" t="str">
        <x:v>العربية</x:v>
      </x:c>
      <x:c r="G52" s="22" t="str">
        <x:v>كامل</x:v>
      </x:c>
      <x:c r="H52" s="22" t="str">
        <x:v>مختلط/طلب</x:v>
      </x:c>
      <x:c r="I52" s="22" t="str">
        <x:v>متوافق</x:v>
      </x:c>
      <x:c r="J52" s="22" t="str">
        <x:v>الويدجت والتتبع</x:v>
      </x:c>
      <x:c r="K52" s="22" t="str">
        <x:v>Streak الالتزام بالورد</x:v>
      </x:c>
      <x:c r="L52" s="22" t="str">
        <x:v>P1</x:v>
      </x:c>
      <x:c r="M52" s="22" t="str">
        <x:v>المستخدم يريد رؤية الاستمرارية لا مجرد إنجاز ورد اليوم، ما يقوي العودة والهوية.</x:v>
      </x:c>
      <x:c r="N52" s="22" t="str">
        <x:v>أضف streak رحيمًا لا يعاقب المستخدم: أيام الالتزام، أفضل سلسلة، واستئناف بلا إحباط.</x:v>
      </x:c>
      <x:c r="O52" s="22" t="str">
        <x:v>S17</x:v>
      </x:c>
    </x:row>
    <x:row r="53" ht="26.399999618530273" hidden="0" customHeight="1">
      <x:c r="A53" s="18" t="n">
        <x:v>52</x:v>
      </x:c>
      <x:c r="B53" s="18" t="str">
        <x:v>Mohamed Yahia</x:v>
      </x:c>
      <x:c r="C53" s="19" t="n">
        <x:v>46199</x:v>
      </x:c>
      <x:c r="D53" s="18" t="n">
        <x:v>5</x:v>
      </x:c>
      <x:c r="E53" s="14" t="str">
        <x:v>The cleanest quran app if you want premium look</x:v>
      </x:c>
      <x:c r="F53" s="22" t="str">
        <x:v>الإنجليزية</x:v>
      </x:c>
      <x:c r="G53" s="22" t="str">
        <x:v>كامل</x:v>
      </x:c>
      <x:c r="H53" s="22" t="str">
        <x:v>إيجابي</x:v>
      </x:c>
      <x:c r="I53" s="22" t="str">
        <x:v>متوافق</x:v>
      </x:c>
      <x:c r="J53" s="22" t="str">
        <x:v>التصميم وتجربة الاستخدام</x:v>
      </x:c>
      <x:c r="K53" s="22" t="str">
        <x:v>مظهر Premium</x:v>
      </x:c>
      <x:c r="L53" s="22" t="str">
        <x:v>فرصة عالية</x:v>
      </x:c>
      <x:c r="M53" s="22" t="str">
        <x:v>النظافة البصرية والمظهر الفاخر ميزة يلاحظها المستخدم ويذكرها صراحة.</x:v>
      </x:c>
      <x:c r="N53" s="22" t="str">
        <x:v>اجعل جودة UI ولقطات المتجر جزءًا من استراتيجية النمو، لا مجرد تحسين داخلي.</x:v>
      </x:c>
      <x:c r="O53" s="22" t="str">
        <x:v>S17</x:v>
      </x:c>
    </x:row>
    <x:row r="54" ht="15" hidden="0" customHeight="1">
      <x:c r="A54" s="18" t="n">
        <x:v>53</x:v>
      </x:c>
      <x:c r="B54" s="18" t="str">
        <x:v>Nada Mohammed</x:v>
      </x:c>
      <x:c r="C54" s="19" t="n">
        <x:v>46198</x:v>
      </x:c>
      <x:c r="D54" s="18" t="n">
        <x:v>5</x:v>
      </x:c>
      <x:c r="E54" s="14" t="str">
        <x:v>ابليكيشن جميل جدا ومفيد</x:v>
      </x:c>
      <x:c r="F54" s="22" t="str">
        <x:v>العربية</x:v>
      </x:c>
      <x:c r="G54" s="22" t="str">
        <x:v>كامل</x:v>
      </x:c>
      <x:c r="H54" s="22" t="str">
        <x:v>إيجابي</x:v>
      </x:c>
      <x:c r="I54" s="22" t="str">
        <x:v>متوافق</x:v>
      </x:c>
      <x:c r="J54" s="22" t="str">
        <x:v>تقييم عام</x:v>
      </x:c>
      <x:c r="K54" s="22" t="str">
        <x:v>الجمال والفائدة</x:v>
      </x:c>
      <x:c r="L54" s="22" t="str">
        <x:v>فرصة متوسطة</x:v>
      </x:c>
      <x:c r="M54" s="22" t="str">
        <x:v>الجمع بين الجمال والفائدة هو معيار نجاح واضح في هذه الفئة.</x:v>
      </x:c>
      <x:c r="N54" s="22" t="str">
        <x:v>لا تضف ميزة إلا إن حافظت على بساطة الواجهة ووضوح القيمة.</x:v>
      </x:c>
      <x:c r="O54" s="22" t="str">
        <x:v>S17</x:v>
      </x:c>
    </x:row>
    <x:row r="55" ht="26.399999618530273" hidden="0" customHeight="1">
      <x:c r="A55" s="18" t="n">
        <x:v>54</x:v>
      </x:c>
      <x:c r="B55" s="18" t="str">
        <x:v>Hesham Djebbari</x:v>
      </x:c>
      <x:c r="C55" s="19" t="n">
        <x:v>46197</x:v>
      </x:c>
      <x:c r="D55" s="18" t="n">
        <x:v>5</x:v>
      </x:c>
      <x:c r="E55" s="14" t="str">
        <x:v>ياريت تقدر نضيف في الاذكار الصباح والمساء .. مثل مية صلاة على النبي THE BEST</x:v>
      </x:c>
      <x:c r="F55" s="22" t="str">
        <x:v>العربية/الإنجليزية</x:v>
      </x:c>
      <x:c r="G55" s="22" t="str">
        <x:v>كامل تقريبًا</x:v>
      </x:c>
      <x:c r="H55" s="22" t="str">
        <x:v>مختلط/طلب</x:v>
      </x:c>
      <x:c r="I55" s="22" t="str">
        <x:v>متوافق</x:v>
      </x:c>
      <x:c r="J55" s="22" t="str">
        <x:v>الأذكار والمحتوى</x:v>
      </x:c>
      <x:c r="K55" s="22" t="str">
        <x:v>الصلاة على النبي</x:v>
      </x:c>
      <x:c r="L55" s="22" t="str">
        <x:v>P2</x:v>
      </x:c>
      <x:c r="M55" s="22" t="str">
        <x:v>المستخدمون يريدون توسيع الروتين اليومي داخل الأذكار، لكن المحتوى يجب أن يكون موثقًا.</x:v>
      </x:c>
      <x:c r="N55" s="22" t="str">
        <x:v>أضف حزم أذكار موثقة مع المصادر والعداد، وتجنب أي محتوى غير مراجع شرعيًا.</x:v>
      </x:c>
      <x:c r="O55" s="22" t="str">
        <x:v>S18</x:v>
      </x:c>
    </x:row>
    <x:row r="56" ht="26.399999618530273" hidden="0" customHeight="1">
      <x:c r="A56" s="18" t="n">
        <x:v>55</x:v>
      </x:c>
      <x:c r="B56" s="18" t="str">
        <x:v>Ahmed harbed</x:v>
      </x:c>
      <x:c r="C56" s="19" t="n">
        <x:v>46197</x:v>
      </x:c>
      <x:c r="D56" s="18" t="n">
        <x:v>5</x:v>
      </x:c>
      <x:c r="E56" s="14" t="str">
        <x:v>جدااااا رائع ممتاززززز</x:v>
      </x:c>
      <x:c r="F56" s="22" t="str">
        <x:v>العربية</x:v>
      </x:c>
      <x:c r="G56" s="22" t="str">
        <x:v>كامل</x:v>
      </x:c>
      <x:c r="H56" s="22" t="str">
        <x:v>إيجابي</x:v>
      </x:c>
      <x:c r="I56" s="22" t="str">
        <x:v>متوافق</x:v>
      </x:c>
      <x:c r="J56" s="22" t="str">
        <x:v>تقييم عام</x:v>
      </x:c>
      <x:c r="K56" s="22" t="str"/>
      <x:c r="L56" s="22" t="str">
        <x:v>إشارة عامة</x:v>
      </x:c>
      <x:c r="M56" s="22" t="str">
        <x:v>إعجاب قوي دون تفاصيل؛ لا يكفي وحده لتحديد خارطة الطريق.</x:v>
      </x:c>
      <x:c r="N56" s="22" t="str">
        <x:v>اربط التقييمات بالأحداث السابقة لها داخل analytics لفهم ميزة الإعجاب.</x:v>
      </x:c>
      <x:c r="O56" s="22" t="str">
        <x:v>S18</x:v>
      </x:c>
    </x:row>
    <x:row r="57" ht="26.399999618530273" hidden="0" customHeight="1">
      <x:c r="A57" s="18" t="n">
        <x:v>56</x:v>
      </x:c>
      <x:c r="B57" s="18" t="str">
        <x:v>ALI BENSIDAHMED</x:v>
      </x:c>
      <x:c r="C57" s="19" t="n">
        <x:v>46196</x:v>
      </x:c>
      <x:c r="D57" s="18" t="n">
        <x:v>5</x:v>
      </x:c>
      <x:c r="E57" s="14" t="str">
        <x:v>افضل تطبيق على حسب تجربتي. كما نرجو من القائمين على التطبيق اضافة عدة روايات مثل رواية ورش وبارك الله في الجميع</x:v>
      </x:c>
      <x:c r="F57" s="22" t="str">
        <x:v>العربية</x:v>
      </x:c>
      <x:c r="G57" s="22" t="str">
        <x:v>كامل</x:v>
      </x:c>
      <x:c r="H57" s="22" t="str">
        <x:v>مختلط/طلب</x:v>
      </x:c>
      <x:c r="I57" s="22" t="str">
        <x:v>متوافق</x:v>
      </x:c>
      <x:c r="J57" s="22" t="str">
        <x:v>القراءات والروايات</x:v>
      </x:c>
      <x:c r="K57" s="22" t="str">
        <x:v>ورش</x:v>
      </x:c>
      <x:c r="L57" s="22" t="str">
        <x:v>P2 استراتيجي</x:v>
      </x:c>
      <x:c r="M57" s="22" t="str">
        <x:v>حتى المستخدم شديد الرضا يرى تعدد الروايات فجوة مهمة، ما يؤكد وجود طلب حقيقي.</x:v>
      </x:c>
      <x:c r="N57" s="22" t="str">
        <x:v>اجمع طلب الرواية حسب البلد قبل الاستثمار، وابدأ بسوق واضح ومصدر مصحف معتمد.</x:v>
      </x:c>
      <x:c r="O57" s="22" t="str">
        <x:v>S18</x:v>
      </x:c>
    </x:row>
    <x:row r="58" ht="26.399999618530273" hidden="0" customHeight="1">
      <x:c r="A58" s="18" t="n">
        <x:v>57</x:v>
      </x:c>
      <x:c r="B58" s="18" t="str">
        <x:v>UKREM Masresha</x:v>
      </x:c>
      <x:c r="C58" s="19" t="n">
        <x:v>46192</x:v>
      </x:c>
      <x:c r="D58" s="18" t="n">
        <x:v>5</x:v>
      </x:c>
      <x:c r="E58" s="14" t="str">
        <x:v>the best app to have the best relationship with the Quran . shukran( thank you) for the creator of this application 🙏</x:v>
      </x:c>
      <x:c r="F58" s="22" t="str">
        <x:v>الإنجليزية</x:v>
      </x:c>
      <x:c r="G58" s="22" t="str">
        <x:v>كامل</x:v>
      </x:c>
      <x:c r="H58" s="22" t="str">
        <x:v>إيجابي</x:v>
      </x:c>
      <x:c r="I58" s="22" t="str">
        <x:v>متوافق</x:v>
      </x:c>
      <x:c r="J58" s="22" t="str">
        <x:v>الختمة والورد اليومي</x:v>
      </x:c>
      <x:c r="K58" s="22" t="str">
        <x:v>العلاقة بالقرآن</x:v>
      </x:c>
      <x:c r="L58" s="22" t="str">
        <x:v>فرصة عالية</x:v>
      </x:c>
      <x:c r="M58" s="22" t="str">
        <x:v>النتيجة العاطفية المرغوبة ليست «استخدام تطبيق» بل بناء علاقة أفضل مع القرآن.</x:v>
      </x:c>
      <x:c r="N58" s="22" t="str">
        <x:v>صِغ قيمة MeMuslim حول الاستمرارية والقرب من القرآن، وليس عدد الأدوات فقط.</x:v>
      </x:c>
      <x:c r="O58" s="22" t="str">
        <x:v>S19</x:v>
      </x:c>
    </x:row>
    <x:row r="59" ht="15" hidden="0" customHeight="1">
      <x:c r="A59" s="18" t="n">
        <x:v>58</x:v>
      </x:c>
      <x:c r="B59" s="18" t="str">
        <x:v>ksa وطن عظيم</x:v>
      </x:c>
      <x:c r="C59" s="19" t="n">
        <x:v>46192</x:v>
      </x:c>
      <x:c r="D59" s="18" t="n">
        <x:v>5</x:v>
      </x:c>
      <x:c r="E59" s="14" t="str">
        <x:v>عظيم</x:v>
      </x:c>
      <x:c r="F59" s="22" t="str">
        <x:v>العربية</x:v>
      </x:c>
      <x:c r="G59" s="22" t="str">
        <x:v>كامل</x:v>
      </x:c>
      <x:c r="H59" s="22" t="str">
        <x:v>إيجابي</x:v>
      </x:c>
      <x:c r="I59" s="22" t="str">
        <x:v>متوافق</x:v>
      </x:c>
      <x:c r="J59" s="22" t="str">
        <x:v>تقييم عام</x:v>
      </x:c>
      <x:c r="K59" s="22" t="str"/>
      <x:c r="L59" s="22" t="str">
        <x:v>إشارة عامة</x:v>
      </x:c>
      <x:c r="M59" s="22" t="str">
        <x:v>مدح عام دون سبب محدد.</x:v>
      </x:c>
      <x:c r="N59" s="22" t="str">
        <x:v>استخدم تحليلات السلوك لفهم ما سبق التقييم.</x:v>
      </x:c>
      <x:c r="O59" s="22" t="str">
        <x:v>S19</x:v>
      </x:c>
    </x:row>
    <x:row r="60" ht="26.399999618530273" hidden="0" customHeight="1">
      <x:c r="A60" s="18" t="n">
        <x:v>59</x:v>
      </x:c>
      <x:c r="B60" s="18" t="str">
        <x:v>s s</x:v>
      </x:c>
      <x:c r="C60" s="19" t="n">
        <x:v>46192</x:v>
      </x:c>
      <x:c r="D60" s="18" t="n">
        <x:v>5</x:v>
      </x:c>
      <x:c r="E60" s="14" t="str">
        <x:v>good application</x:v>
      </x:c>
      <x:c r="F60" s="22" t="str">
        <x:v>الإنجليزية</x:v>
      </x:c>
      <x:c r="G60" s="22" t="str">
        <x:v>كامل</x:v>
      </x:c>
      <x:c r="H60" s="22" t="str">
        <x:v>إيجابي</x:v>
      </x:c>
      <x:c r="I60" s="22" t="str">
        <x:v>متوافق</x:v>
      </x:c>
      <x:c r="J60" s="22" t="str">
        <x:v>تقييم عام</x:v>
      </x:c>
      <x:c r="K60" s="22" t="str"/>
      <x:c r="L60" s="22" t="str">
        <x:v>إشارة عامة</x:v>
      </x:c>
      <x:c r="M60" s="22" t="str">
        <x:v>مدح عام.</x:v>
      </x:c>
      <x:c r="N60" s="22" t="str">
        <x:v>لا تعتمد على التعليقات العامة لتحديد الأولويات؛ استخدمها كإشارة رضا فقط.</x:v>
      </x:c>
      <x:c r="O60" s="22" t="str">
        <x:v>S19</x:v>
      </x:c>
    </x:row>
  </x:sheetData>
  <x:conditionalFormatting sqref="D2:D60">
    <x:cfRule type="expression" dxfId="0" priority="1">
      <x:formula>D2=1</x:formula>
    </x:cfRule>
    <x:cfRule type="expression" dxfId="1" priority="2">
      <x:formula>D2=5</x:formula>
    </x:cfRule>
  </x:conditionalFormatting>
  <x:conditionalFormatting sqref="L2:L60">
    <x:cfRule type="expression" dxfId="2" priority="3">
      <x:formula>ISNUMBER(SEARCH("P0",L2))</x:formula>
    </x:cfRule>
    <x:cfRule type="expression" dxfId="3" priority="4">
      <x:formula>ISNUMBER(SEARCH("P1",L2))</x:formula>
    </x:cfRule>
    <x:cfRule type="expression" dxfId="4" priority="5">
      <x:formula>ISNUMBER(SEARCH("P2",L2))</x:formula>
    </x:cfRule>
  </x:conditionalFormatting>
  <x:conditionalFormatting sqref="I2:I60">
    <x:cfRule type="expression" dxfId="5" priority="6">
      <x:formula>ISNUMBER(SEARCH("غير متوافق",I2))</x:formula>
    </x:cfRule>
  </x:conditionalFormatting>
  <x:pageMargins left="0.7" right="0.7" top="0.75" bottom="0.75" header="0.3" footer="0.3"/>
  <x:tableParts count="1">
    <x:tablePart xmlns:r="http://schemas.openxmlformats.org/officeDocument/2006/relationships" r:id="Re92a6963493240be"/>
  </x:tableParts>
</x:worksheet>
</file>

<file path=xl/worksheets/sheet3.xml><?xml version="1.0" encoding="utf-8"?>
<x:worksheet xmlns:x="http://schemas.openxmlformats.org/spreadsheetml/2006/main">
  <x:sheetFormatPr defaultRowHeight="15"/>
  <x:cols>
    <x:col min="1" max="1" width="36" hidden="0" customWidth="1"/>
    <x:col min="2" max="2" width="14" hidden="0" customWidth="1"/>
    <x:col min="3" max="3" width="16" hidden="0" customWidth="1"/>
    <x:col min="4" max="4" width="20" hidden="0" customWidth="1"/>
    <x:col min="5" max="5" width="16" hidden="0" customWidth="1"/>
    <x:col min="6" max="6" width="58" hidden="0" customWidth="1"/>
  </x:cols>
  <x:sheetData>
    <x:row r="1">
      <x:c r="A1" s="108" t="str">
        <x:v>تحليل الموضوعات المتكررة</x:v>
      </x:c>
      <x:c r="B1" s="108"/>
      <x:c r="C1" s="108"/>
      <x:c r="D1" s="108"/>
      <x:c r="E1" s="108"/>
      <x:c r="F1" s="108"/>
      <x:c r="G1" s="108"/>
      <x:c r="H1" s="108"/>
    </x:row>
    <x:row r="2">
      <x:c r="A2" s="108"/>
      <x:c r="B2" s="108"/>
      <x:c r="C2" s="108"/>
      <x:c r="D2" s="108"/>
      <x:c r="E2" s="108"/>
      <x:c r="F2" s="108"/>
      <x:c r="G2" s="108"/>
      <x:c r="H2" s="108"/>
    </x:row>
    <x:row r="4" ht="32" hidden="0" customHeight="1">
      <x:c r="A4" s="115" t="str">
        <x:v>الموضوع</x:v>
      </x:c>
      <x:c r="B4" s="115" t="str">
        <x:v>عدد المراجعات</x:v>
      </x:c>
      <x:c r="C4" s="115" t="str">
        <x:v>النسبة من العينة</x:v>
      </x:c>
      <x:c r="D4" s="115" t="str">
        <x:v>طبيعة الإشارة</x:v>
      </x:c>
      <x:c r="E4" s="115" t="str">
        <x:v>الأولوية</x:v>
      </x:c>
      <x:c r="F4" s="115" t="str">
        <x:v>المعنى لـ MeMuslim</x:v>
      </x:c>
    </x:row>
    <x:row r="5" ht="26.399999618530273" hidden="0" customHeight="1">
      <x:c r="A5" s="14" t="str">
        <x:v>الأذان ومواقيت الصلاة</x:v>
      </x:c>
      <x:c r="B5" s="14" t="n">
        <x:f>COUNTIF('المراجعات'!J2:J60,A5)</x:f>
        <x:v>10</x:v>
      </x:c>
      <x:c r="C5" s="124" t="n">
        <x:f>B5/COUNTA('المراجعات'!A2:A60)</x:f>
        <x:v>0.1694915254237288</x:v>
      </x:c>
      <x:c r="D5" s="14" t="str">
        <x:v>خطر متكرر</x:v>
      </x:c>
      <x:c r="E5" s="14" t="str">
        <x:v>P0</x:v>
      </x:c>
      <x:c r="F5" s="14" t="str">
        <x:v>الميزة تحتاج Reliability Engineering واختبارات طويلة المدى، لا تنفيذًا وظيفيًا فقط.</x:v>
      </x:c>
    </x:row>
    <x:row r="6" ht="15" hidden="0" customHeight="1">
      <x:c r="A6" s="14" t="str">
        <x:v>سلامة نص القرآن والبيانات الدينية</x:v>
      </x:c>
      <x:c r="B6" s="14" t="n">
        <x:f>COUNTIF('المراجعات'!J2:J60,A6)</x:f>
        <x:v>7</x:v>
      </x:c>
      <x:c r="C6" s="124" t="n">
        <x:f>B6/COUNTA('المراجعات'!A2:A60)</x:f>
        <x:v>0.11864406779661017</x:v>
      </x:c>
      <x:c r="D6" s="14" t="str">
        <x:v>خطر وجودي</x:v>
      </x:c>
      <x:c r="E6" s="14" t="str">
        <x:v>P0 حرج</x:v>
      </x:c>
      <x:c r="F6" s="14" t="str">
        <x:v>نزاهة البيانات الدينية هي أساس العلامة والثقة.</x:v>
      </x:c>
    </x:row>
    <x:row r="7" ht="15" hidden="0" customHeight="1">
      <x:c r="A7" s="14" t="str">
        <x:v>تقييم عام</x:v>
      </x:c>
      <x:c r="B7" s="14" t="n">
        <x:f>COUNTIF('المراجعات'!J2:J60,A7)</x:f>
        <x:v>11</x:v>
      </x:c>
      <x:c r="C7" s="124" t="n">
        <x:f>B7/COUNTA('المراجعات'!A2:A60)</x:f>
        <x:v>0.1864406779661017</x:v>
      </x:c>
      <x:c r="D7" s="14" t="str">
        <x:v>إشارة رضا/عدم رضا</x:v>
      </x:c>
      <x:c r="E7" s="14" t="str">
        <x:v>قياس</x:v>
      </x:c>
      <x:c r="F7" s="14" t="str">
        <x:v>لا تكفي لتحديد خارطة الطريق؛ اربطها بسلوك المستخدم.</x:v>
      </x:c>
    </x:row>
    <x:row r="8" ht="15" hidden="0" customHeight="1">
      <x:c r="A8" s="14" t="str">
        <x:v>التصميم وتجربة الاستخدام</x:v>
      </x:c>
      <x:c r="B8" s="14" t="n">
        <x:f>COUNTIF('المراجعات'!J2:J60,A8)</x:f>
        <x:v>4</x:v>
      </x:c>
      <x:c r="C8" s="124" t="n">
        <x:f>B8/COUNTA('المراجعات'!A2:A60)</x:f>
        <x:v>0.06779661016949153</x:v>
      </x:c>
      <x:c r="D8" s="14" t="str">
        <x:v>فرصة تفوق</x:v>
      </x:c>
      <x:c r="E8" s="14" t="str">
        <x:v>P1</x:v>
      </x:c>
      <x:c r="F8" s="14" t="str">
        <x:v>واجهة حديثة ومريحة يمكن أن تميز MeMuslim عن المنافس القديم.</x:v>
      </x:c>
    </x:row>
    <x:row r="9" ht="15" hidden="0" customHeight="1">
      <x:c r="A9" s="14" t="str">
        <x:v>الإعلانات/الدعم/الدفع</x:v>
      </x:c>
      <x:c r="B9" s="14" t="n">
        <x:f>COUNTIF('المراجعات'!J2:J60,A9)</x:f>
        <x:v>4</x:v>
      </x:c>
      <x:c r="C9" s="124" t="n">
        <x:f>B9/COUNTA('المراجعات'!A2:A60)</x:f>
        <x:v>0.06779661016949153</x:v>
      </x:c>
      <x:c r="D9" s="14" t="str">
        <x:v>خطر ثقة</x:v>
      </x:c>
      <x:c r="E9" s="14" t="str">
        <x:v>P1</x:v>
      </x:c>
      <x:c r="F9" s="14" t="str">
        <x:v>عدم الإعلانات والشفافية في الدفع ميزة تنافسية مباشرة.</x:v>
      </x:c>
    </x:row>
    <x:row r="10" ht="15" hidden="0" customHeight="1">
      <x:c r="A10" s="14" t="str">
        <x:v>تكافؤ Android وiOS</x:v>
      </x:c>
      <x:c r="B10" s="14" t="n">
        <x:f>COUNTIF('المراجعات'!J2:J60,A10)</x:f>
        <x:v>3</x:v>
      </x:c>
      <x:c r="C10" s="124" t="n">
        <x:f>B10/COUNTA('المراجعات'!A2:A60)</x:f>
        <x:v>0.05084745762711865</x:v>
      </x:c>
      <x:c r="D10" s="14" t="str">
        <x:v>خطر تجربة</x:v>
      </x:c>
      <x:c r="E10" s="14" t="str">
        <x:v>P1</x:v>
      </x:c>
      <x:c r="F10" s="14" t="str">
        <x:v>الفجوة بين المنصتين تُفهم كعدم إنصاف.</x:v>
      </x:c>
    </x:row>
    <x:row r="11" ht="15" hidden="0" customHeight="1">
      <x:c r="A11" s="14" t="str">
        <x:v>القراءات والروايات</x:v>
      </x:c>
      <x:c r="B11" s="14" t="n">
        <x:f>COUNTIF('المراجعات'!J2:J60,A11)</x:f>
        <x:v>3</x:v>
      </x:c>
      <x:c r="C11" s="124" t="n">
        <x:f>B11/COUNTA('المراجعات'!A2:A60)</x:f>
        <x:v>0.05084745762711865</x:v>
      </x:c>
      <x:c r="D11" s="14" t="str">
        <x:v>فرصة سوق</x:v>
      </x:c>
      <x:c r="E11" s="14" t="str">
        <x:v>P2 استراتيجي</x:v>
      </x:c>
      <x:c r="F11" s="14" t="str">
        <x:v>ورش/قالون ضروريان عند استهداف المغرب العربي.</x:v>
      </x:c>
    </x:row>
    <x:row r="12" ht="15" hidden="0" customHeight="1">
      <x:c r="A12" s="14" t="str">
        <x:v>القيمة الشاملة/كل شيء في مكان واحد</x:v>
      </x:c>
      <x:c r="B12" s="14" t="n">
        <x:f>COUNTIF('المراجعات'!J2:J60,A12)</x:f>
        <x:v>3</x:v>
      </x:c>
      <x:c r="C12" s="124" t="n">
        <x:f>B12/COUNTA('المراجعات'!A2:A60)</x:f>
        <x:v>0.05084745762711865</x:v>
      </x:c>
      <x:c r="D12" s="14" t="str">
        <x:v>قيمة إيجابية</x:v>
      </x:c>
      <x:c r="E12" s="14" t="str">
        <x:v>P1</x:v>
      </x:c>
      <x:c r="F12" s="14" t="str">
        <x:v>الشمولية مفيدة بشرط عدم التضحية بالبساطة.</x:v>
      </x:c>
    </x:row>
    <x:row r="13" ht="15" hidden="0" customHeight="1">
      <x:c r="A13" s="14" t="str">
        <x:v>الختمة والورد اليومي</x:v>
      </x:c>
      <x:c r="B13" s="14" t="n">
        <x:f>COUNTIF('المراجعات'!J2:J60,A13)</x:f>
        <x:v>2</x:v>
      </x:c>
      <x:c r="C13" s="124" t="n">
        <x:f>B13/COUNTA('المراجعات'!A2:A60)</x:f>
        <x:v>0.03389830508474576</x:v>
      </x:c>
      <x:c r="D13" s="14" t="str">
        <x:v>محرك احتفاظ</x:v>
      </x:c>
      <x:c r="E13" s="14" t="str">
        <x:v>P1</x:v>
      </x:c>
      <x:c r="F13" s="14" t="str">
        <x:v>هذه هي حلقة العادة الأساسية التي ينبغي أن يتبناها MeMuslim.</x:v>
      </x:c>
    </x:row>
    <x:row r="14" ht="15" hidden="0" customHeight="1">
      <x:c r="A14" s="14" t="str">
        <x:v>الويدجت والتتبع</x:v>
      </x:c>
      <x:c r="B14" s="14" t="n">
        <x:f>COUNTIF('المراجعات'!J2:J60,A14)</x:f>
        <x:v>2</x:v>
      </x:c>
      <x:c r="C14" s="124" t="n">
        <x:f>B14/COUNTA('المراجعات'!A2:A60)</x:f>
        <x:v>0.03389830508474576</x:v>
      </x:c>
      <x:c r="D14" s="14" t="str">
        <x:v>محرك احتفاظ</x:v>
      </x:c>
      <x:c r="E14" s="14" t="str">
        <x:v>P1</x:v>
      </x:c>
      <x:c r="F14" s="14" t="str">
        <x:v>الويدجت وstreak يعيدان المستخدم يوميًا.</x:v>
      </x:c>
    </x:row>
    <x:row r="15" ht="15" hidden="0" customHeight="1">
      <x:c r="A15" s="14" t="str">
        <x:v>سهولة الاستخدام وإتاحة كبار السن</x:v>
      </x:c>
      <x:c r="B15" s="14" t="n">
        <x:f>COUNTIF('المراجعات'!J2:J60,A15)</x:f>
        <x:v>1</x:v>
      </x:c>
      <x:c r="C15" s="124" t="n">
        <x:f>B15/COUNTA('المراجعات'!A2:A60)</x:f>
        <x:v>0.01694915254237288</x:v>
      </x:c>
      <x:c r="D15" s="14" t="str">
        <x:v>فرصة تفوق</x:v>
      </x:c>
      <x:c r="E15" s="14" t="str">
        <x:v>P1</x:v>
      </x:c>
      <x:c r="F15" s="14" t="str">
        <x:v>كبّر الخطوط واختصر المسارات وحسّن التباين.</x:v>
      </x:c>
    </x:row>
    <x:row r="16" ht="15" hidden="0" customHeight="1">
      <x:c r="A16" s="14" t="str">
        <x:v>الموقع والصلاحيات</x:v>
      </x:c>
      <x:c r="B16" s="14" t="n">
        <x:f>COUNTIF('المراجعات'!J2:J60,A16)</x:f>
        <x:v>1</x:v>
      </x:c>
      <x:c r="C16" s="124" t="n">
        <x:f>B16/COUNTA('المراجعات'!A2:A60)</x:f>
        <x:v>0.01694915254237288</x:v>
      </x:c>
      <x:c r="D16" s="14" t="str">
        <x:v>خطر تشغيلي</x:v>
      </x:c>
      <x:c r="E16" s="14" t="str">
        <x:v>P0</x:v>
      </x:c>
      <x:c r="F16" s="14" t="str">
        <x:v>وفّر manual fallback وتشخيصًا واضحًا.</x:v>
      </x:c>
    </x:row>
    <x:row r="17" ht="15" hidden="0" customHeight="1">
      <x:c r="A17" s="14" t="str">
        <x:v>التفسير</x:v>
      </x:c>
      <x:c r="B17" s="14" t="n">
        <x:f>COUNTIF('المراجعات'!J2:J60,A17)</x:f>
        <x:v>1</x:v>
      </x:c>
      <x:c r="C17" s="124" t="n">
        <x:f>B17/COUNTA('المراجعات'!A2:A60)</x:f>
        <x:v>0.01694915254237288</x:v>
      </x:c>
      <x:c r="D17" s="14" t="str">
        <x:v>فجوة ميزة</x:v>
      </x:c>
      <x:c r="E17" s="14" t="str">
        <x:v>P1</x:v>
      </x:c>
      <x:c r="F17" s="14" t="str">
        <x:v>اجعله جزءًا من الحد الأدنى لتجربة القرآن.</x:v>
      </x:c>
    </x:row>
    <x:row r="18" ht="15" hidden="0" customHeight="1">
      <x:c r="A18" s="14" t="str">
        <x:v>تخصيص الأذان</x:v>
      </x:c>
      <x:c r="B18" s="14" t="n">
        <x:f>COUNTIF('المراجعات'!J2:J60,A18)</x:f>
        <x:v>1</x:v>
      </x:c>
      <x:c r="C18" s="124" t="n">
        <x:f>B18/COUNTA('المراجعات'!A2:A60)</x:f>
        <x:v>0.01694915254237288</x:v>
      </x:c>
      <x:c r="D18" s="14" t="str">
        <x:v>طلب تخصيص</x:v>
      </x:c>
      <x:c r="E18" s="14" t="str">
        <x:v>P2</x:v>
      </x:c>
      <x:c r="F18" s="14" t="str">
        <x:v>أصوات إقليمية بعد تثبيت الموثوقية.</x:v>
      </x:c>
    </x:row>
    <x:row r="19" ht="15" hidden="0" customHeight="1">
      <x:c r="A19" s="14" t="str">
        <x:v>القيمة الدينية اليومية</x:v>
      </x:c>
      <x:c r="B19" s="14" t="n">
        <x:f>COUNTIF('المراجعات'!J2:J60,A19)</x:f>
        <x:v>1</x:v>
      </x:c>
      <x:c r="C19" s="124" t="n">
        <x:f>B19/COUNTA('المراجعات'!A2:A60)</x:f>
        <x:v>0.01694915254237288</x:v>
      </x:c>
      <x:c r="D19" s="14" t="str">
        <x:v>قيمة هوية</x:v>
      </x:c>
      <x:c r="E19" s="14" t="str">
        <x:v>P1</x:v>
      </x:c>
      <x:c r="F19" s="14" t="str">
        <x:v>تمركز «رفيقك اليومي» مناسب للمنتج.</x:v>
      </x:c>
    </x:row>
    <x:row r="20" ht="15" hidden="0" customHeight="1">
      <x:c r="A20" s="14" t="str">
        <x:v>تطور المنتج والميزات</x:v>
      </x:c>
      <x:c r="B20" s="14" t="n">
        <x:f>COUNTIF('المراجعات'!J2:J60,A20)</x:f>
        <x:v>1</x:v>
      </x:c>
      <x:c r="C20" s="124" t="n">
        <x:f>B20/COUNTA('المراجعات'!A2:A60)</x:f>
        <x:v>0.01694915254237288</x:v>
      </x:c>
      <x:c r="D20" s="14" t="str">
        <x:v>إشارة تحديث</x:v>
      </x:c>
      <x:c r="E20" s="14" t="str">
        <x:v>P2</x:v>
      </x:c>
      <x:c r="F20" s="14" t="str">
        <x:v>أظهر التحديثات والفوائد الجديدة للمستخدم.</x:v>
      </x:c>
    </x:row>
    <x:row r="21" ht="15" hidden="0" customHeight="1">
      <x:c r="A21" s="14" t="str">
        <x:v>الاستقرار والأعطال</x:v>
      </x:c>
      <x:c r="B21" s="14" t="n">
        <x:f>COUNTIF('المراجعات'!J2:J60,A21)</x:f>
        <x:v>1</x:v>
      </x:c>
      <x:c r="C21" s="124" t="n">
        <x:f>B21/COUNTA('المراجعات'!A2:A60)</x:f>
        <x:v>0.01694915254237288</x:v>
      </x:c>
      <x:c r="D21" s="14" t="str">
        <x:v>خطر تشغيلي</x:v>
      </x:c>
      <x:c r="E21" s="14" t="str">
        <x:v>P1</x:v>
      </x:c>
      <x:c r="F21" s="14" t="str">
        <x:v>وفّر بلاغات مشكلة غنية بالسياق.</x:v>
      </x:c>
    </x:row>
    <x:row r="22" ht="15" hidden="0" customHeight="1">
      <x:c r="A22" s="14" t="str">
        <x:v>الصوت والتلاوة</x:v>
      </x:c>
      <x:c r="B22" s="14" t="n">
        <x:f>COUNTIF('المراجعات'!J2:J60,A22)</x:f>
        <x:v>1</x:v>
      </x:c>
      <x:c r="C22" s="124" t="n">
        <x:f>B22/COUNTA('المراجعات'!A2:A60)</x:f>
        <x:v>0.01694915254237288</x:v>
      </x:c>
      <x:c r="D22" s="14" t="str">
        <x:v>خطر أساسي</x:v>
      </x:c>
      <x:c r="E22" s="14" t="str">
        <x:v>P1</x:v>
      </x:c>
      <x:c r="F22" s="14" t="str">
        <x:v>تأكد من الروابط والتنزيلات وfallback.</x:v>
      </x:c>
      <x:c r="H22" s="126" t="str">
        <x:v>أنماط عابرة للموضوعات</x:v>
      </x:c>
      <x:c r="I22" s="126"/>
      <x:c r="J22" s="126"/>
      <x:c r="K22" s="126"/>
      <x:c r="L22" s="126"/>
      <x:c r="M22" s="126"/>
      <x:c r="N22" s="126"/>
    </x:row>
    <x:row r="23" ht="15" hidden="0" customHeight="1">
      <x:c r="A23" s="14" t="str">
        <x:v>تراجع الجودة بعد تحديث</x:v>
      </x:c>
      <x:c r="B23" s="14" t="n">
        <x:f>COUNTIF('المراجعات'!J2:J60,A23)</x:f>
        <x:v>1</x:v>
      </x:c>
      <x:c r="C23" s="124" t="n">
        <x:f>B23/COUNTA('المراجعات'!A2:A60)</x:f>
        <x:v>0.01694915254237288</x:v>
      </x:c>
      <x:c r="D23" s="14" t="str">
        <x:v>خطر Regression</x:v>
      </x:c>
      <x:c r="E23" s="14" t="str">
        <x:v>P1</x:v>
      </x:c>
      <x:c r="F23" s="14" t="str">
        <x:v>راقب الجودة بعد كل إصدار.</x:v>
      </x:c>
      <x:c r="H23" s="131" t="str">
        <x:v>• تكرار شكاوى الأذان عبر شهور مختلفة يعني أنها ليست edge case واحدة.
• 5 مراجعات على الأقل تحتوي نصًا إيجابيًا واضحًا مع نجمة واحدة؛ لذلك يجب فصل sentiment النص عن التقييم الرقمي.
• المستخدم يغفر نقص ميزة، لكنه لا يغفر خطأ دينيًا أو Paywall مفاجئًا.
• Android ليس منصة ثانوية في هذا السوق؛ أي فجوة ظاهرة تضر الثقة.
• التعليقات الإيجابية الأكثر فائدة تتحدث عن الورد والعادة اليومية والبساطة، لا عن عدد الخصائص.
• «بدون إعلانات» و«واجهة Premium» فرصتان سهلتا الفهم والتسويق لـ MeMuslim.</x:v>
      </x:c>
      <x:c r="I23" s="131"/>
      <x:c r="J23" s="131"/>
      <x:c r="K23" s="131"/>
      <x:c r="L23" s="131"/>
      <x:c r="M23" s="131"/>
      <x:c r="N23" s="131"/>
    </x:row>
    <x:row r="24" ht="15" hidden="0" customHeight="1">
      <x:c r="A24" s="14" t="str">
        <x:v>الأذكار والمحتوى</x:v>
      </x:c>
      <x:c r="B24" s="14" t="n">
        <x:f>COUNTIF('المراجعات'!J2:J60,A24)</x:f>
        <x:v>1</x:v>
      </x:c>
      <x:c r="C24" s="124" t="n">
        <x:f>B24/COUNTA('المراجعات'!A2:A60)</x:f>
        <x:v>0.01694915254237288</x:v>
      </x:c>
      <x:c r="D24" s="14" t="str">
        <x:v>فرصة محتوى</x:v>
      </x:c>
      <x:c r="E24" s="14" t="str">
        <x:v>P2</x:v>
      </x:c>
      <x:c r="F24" s="14" t="str">
        <x:v>وسع المحتوى من مصادر موثقة فقط.</x:v>
      </x:c>
      <x:c r="H24" s="131"/>
      <x:c r="I24" s="131"/>
      <x:c r="J24" s="131"/>
      <x:c r="K24" s="131"/>
      <x:c r="L24" s="131"/>
      <x:c r="M24" s="131"/>
      <x:c r="N24" s="131"/>
    </x:row>
    <x:row r="25">
      <x:c r="H25" s="131"/>
      <x:c r="I25" s="131"/>
      <x:c r="J25" s="131"/>
      <x:c r="K25" s="131"/>
      <x:c r="L25" s="131"/>
      <x:c r="M25" s="131"/>
      <x:c r="N25" s="131"/>
    </x:row>
    <x:row r="26">
      <x:c r="H26" s="131"/>
      <x:c r="I26" s="131"/>
      <x:c r="J26" s="131"/>
      <x:c r="K26" s="131"/>
      <x:c r="L26" s="131"/>
      <x:c r="M26" s="131"/>
      <x:c r="N26" s="131"/>
    </x:row>
    <x:row r="27">
      <x:c r="H27" s="131"/>
      <x:c r="I27" s="131"/>
      <x:c r="J27" s="131"/>
      <x:c r="K27" s="131"/>
      <x:c r="L27" s="131"/>
      <x:c r="M27" s="131"/>
      <x:c r="N27" s="131"/>
    </x:row>
    <x:row r="28">
      <x:c r="H28" s="131"/>
      <x:c r="I28" s="131"/>
      <x:c r="J28" s="131"/>
      <x:c r="K28" s="131"/>
      <x:c r="L28" s="131"/>
      <x:c r="M28" s="131"/>
      <x:c r="N28" s="131"/>
    </x:row>
    <x:row r="29">
      <x:c r="H29" s="131"/>
      <x:c r="I29" s="131"/>
      <x:c r="J29" s="131"/>
      <x:c r="K29" s="131"/>
      <x:c r="L29" s="131"/>
      <x:c r="M29" s="131"/>
      <x:c r="N29" s="131"/>
    </x:row>
    <x:row r="30">
      <x:c r="H30" s="131"/>
      <x:c r="I30" s="131"/>
      <x:c r="J30" s="131"/>
      <x:c r="K30" s="131"/>
      <x:c r="L30" s="131"/>
      <x:c r="M30" s="131"/>
      <x:c r="N30" s="131"/>
    </x:row>
    <x:row r="31">
      <x:c r="H31" s="131"/>
      <x:c r="I31" s="131"/>
      <x:c r="J31" s="131"/>
      <x:c r="K31" s="131"/>
      <x:c r="L31" s="131"/>
      <x:c r="M31" s="131"/>
      <x:c r="N31" s="131"/>
    </x:row>
    <x:row r="32">
      <x:c r="H32" s="131"/>
      <x:c r="I32" s="131"/>
      <x:c r="J32" s="131"/>
      <x:c r="K32" s="131"/>
      <x:c r="L32" s="131"/>
      <x:c r="M32" s="131"/>
      <x:c r="N32" s="131"/>
    </x:row>
    <x:row r="33">
      <x:c r="H33" s="131"/>
      <x:c r="I33" s="131"/>
      <x:c r="J33" s="131"/>
      <x:c r="K33" s="131"/>
      <x:c r="L33" s="131"/>
      <x:c r="M33" s="131"/>
      <x:c r="N33" s="131"/>
    </x:row>
    <x:row r="34">
      <x:c r="H34" s="131"/>
      <x:c r="I34" s="131"/>
      <x:c r="J34" s="131"/>
      <x:c r="K34" s="131"/>
      <x:c r="L34" s="131"/>
      <x:c r="M34" s="131"/>
      <x:c r="N34" s="131"/>
    </x:row>
    <x:row r="35">
      <x:c r="H35" s="131"/>
      <x:c r="I35" s="131"/>
      <x:c r="J35" s="131"/>
      <x:c r="K35" s="131"/>
      <x:c r="L35" s="131"/>
      <x:c r="M35" s="131"/>
      <x:c r="N35" s="131"/>
    </x:row>
  </x:sheetData>
  <x:mergeCells>
    <x:mergeCell ref="A1:H2"/>
    <x:mergeCell ref="H22:N22"/>
    <x:mergeCell ref="H23:N35"/>
  </x:mergeCells>
  <x:conditionalFormatting sqref="E5:E24">
    <x:cfRule type="expression" dxfId="6" priority="1">
      <x:formula>ISNUMBER(SEARCH("P0",E5))</x:formula>
    </x:cfRule>
    <x:cfRule type="expression" dxfId="7" priority="2">
      <x:formula>ISNUMBER(SEARCH("P1",E5))</x:formula>
    </x:cfRule>
    <x:cfRule type="expression" dxfId="8" priority="3">
      <x:formula>ISNUMBER(SEARCH("P2",E5))</x:formula>
    </x:cfRule>
  </x:conditionalFormatting>
  <x:pageMargins left="0.7" right="0.7" top="0.75" bottom="0.75" header="0.3" footer="0.3"/>
  <x:drawing xmlns:r="http://schemas.openxmlformats.org/officeDocument/2006/relationships" r:id="Rccfcde12ed72423e"/>
  <x:tableParts count="1">
    <x:tablePart xmlns:r="http://schemas.openxmlformats.org/officeDocument/2006/relationships" r:id="R693d5b4bd99943a0"/>
  </x:tableParts>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36" hidden="0" customWidth="1"/>
    <x:col min="4" max="4" width="50" hidden="0" customWidth="1"/>
    <x:col min="5" max="5" width="46" hidden="0" customWidth="1"/>
    <x:col min="6" max="6" width="32" hidden="0" customWidth="1"/>
    <x:col min="7" max="7" width="30" hidden="0" customWidth="1"/>
  </x:cols>
  <x:sheetData>
    <x:row r="1">
      <x:c r="A1" s="108" t="str">
        <x:v>خطة تنفيذ مقترحة لـ MeMuslim مبنية على مراجعات ختمة</x:v>
      </x:c>
      <x:c r="B1" s="108"/>
      <x:c r="C1" s="108"/>
      <x:c r="D1" s="108"/>
      <x:c r="E1" s="108"/>
      <x:c r="F1" s="108"/>
      <x:c r="G1" s="108"/>
    </x:row>
    <x:row r="2">
      <x:c r="A2" s="108"/>
      <x:c r="B2" s="108"/>
      <x:c r="C2" s="108"/>
      <x:c r="D2" s="108"/>
      <x:c r="E2" s="108"/>
      <x:c r="F2" s="108"/>
      <x:c r="G2" s="108"/>
    </x:row>
    <x:row r="4" ht="34" hidden="0" customHeight="1">
      <x:c r="A4" s="115" t="str">
        <x:v>الأولوية</x:v>
      </x:c>
      <x:c r="B4" s="115" t="str">
        <x:v>المبادرة</x:v>
      </x:c>
      <x:c r="C4" s="115" t="str">
        <x:v>الدليل من المراجعات</x:v>
      </x:c>
      <x:c r="D4" s="115" t="str">
        <x:v>النطاق المقترح</x:v>
      </x:c>
      <x:c r="E4" s="115" t="str">
        <x:v>معيار القبول</x:v>
      </x:c>
      <x:c r="F4" s="115" t="str">
        <x:v>مؤشر النجاح</x:v>
      </x:c>
      <x:c r="G4" s="115" t="str">
        <x:v>الأثر المتوقع</x:v>
      </x:c>
    </x:row>
    <x:row r="5" ht="26.399999618530273" hidden="0" customHeight="1">
      <x:c r="A5" s="14" t="str">
        <x:v>P0</x:v>
      </x:c>
      <x:c r="B5" s="14" t="str">
        <x:v>بوابة نزاهة القرآن والمحتوى</x:v>
      </x:c>
      <x:c r="C5" s="14" t="str">
        <x:v>7 بلاغات مباشرة عن أخطاء/حروف/أرقام/حدود أجزاء أو محتوى ديني.</x:v>
      </x:c>
      <x:c r="D5" s="14" t="str">
        <x:v>مصدر قرآن موثوق immutable، checksums، اختبارات عدد الآيات وحدود الأجزاء، مراجعة شرعية، بلاغ آية.</x:v>
      </x:c>
      <x:c r="E5" s="14" t="str">
        <x:v>لا اختلاف مع المصدر المرجعي؛ كل بلاغ حرج له SLA وتحقيق موثق.</x:v>
      </x:c>
      <x:c r="F5" s="14" t="str">
        <x:v>0 أخطاء مؤكدة في الإنتاج؛ زمن التحقيق &lt; 24 ساعة.</x:v>
      </x:c>
      <x:c r="G5" s="14" t="str">
        <x:v>حماية الثقة والسمعة ومنع خطر وجودي.</x:v>
      </x:c>
    </x:row>
    <x:row r="6" ht="26.399999618530273" hidden="0" customHeight="1">
      <x:c r="A6" s="14" t="str">
        <x:v>P0</x:v>
      </x:c>
      <x:c r="B6" s="14" t="str">
        <x:v>برنامج موثوقية الأذان</x:v>
      </x:c>
      <x:c r="C6" s="14" t="str">
        <x:v>10 مراجعات موضوعها الأساسي الأذان، إضافة إلى مشكلة الموقع.</x:v>
      </x:c>
      <x:c r="D6" s="14" t="str">
        <x:v>Exact alarms، OEM matrix، background/reboot tests، audio completion، telemetry، Health Check.</x:v>
      </x:c>
      <x:c r="E6" s="14" t="str">
        <x:v>نجاح التشغيل في الوقت المحدد على مصفوفة الأجهزة والسيناريوهات الطويلة.</x:v>
      </x:c>
      <x:c r="F6" s="14" t="str">
        <x:v>Delivery success &gt; 99% ضمن هامش متفق؛ انخفاض شكاوى الأذان.</x:v>
      </x:c>
      <x:c r="G6" s="14" t="str">
        <x:v>رفع الاحتفاظ والثقة اليومية.</x:v>
      </x:c>
    </x:row>
    <x:row r="7" ht="26.399999618530273" hidden="0" customHeight="1">
      <x:c r="A7" s="14" t="str">
        <x:v>P0</x:v>
      </x:c>
      <x:c r="B7" s="14" t="str">
        <x:v>موقع يدوي وتشخيص الصلاحيات</x:v>
      </x:c>
      <x:c r="C7" s="14" t="str">
        <x:v>مستخدم عالق لأن الموقع الآلي فشل ولا يوجد إدخال يدوي.</x:v>
      </x:c>
      <x:c r="D7" s="14" t="str">
        <x:v>اختيار دولة/مدينة، fallback، شرح حالة الصلاحيات والمنطقة الزمنية وطريقة الحساب.</x:v>
      </x:c>
      <x:c r="E7" s="14" t="str">
        <x:v>الوصول لمواقيت صحيحة دون GPS.</x:v>
      </x:c>
      <x:c r="F7" s="14" t="str">
        <x:v>نسبة نجاح إعداد الصلاة؛ انخفاض abandonment في onboarding.</x:v>
      </x:c>
      <x:c r="G7" s="14" t="str">
        <x:v>إزالة طريق مسدود حرج.</x:v>
      </x:c>
    </x:row>
    <x:row r="8" ht="26.399999618530273" hidden="0" customHeight="1">
      <x:c r="A8" s="14" t="str">
        <x:v>P1</x:v>
      </x:c>
      <x:c r="B8" s="14" t="str">
        <x:v>خطة ختمة وورد يومي كحلقة أساسية</x:v>
      </x:c>
      <x:c r="C8" s="14" t="str">
        <x:v>الإشادة بتنظيم الختمة والورد والعلاقة اليومية بالقرآن.</x:v>
      </x:c>
      <x:c r="D8" s="14" t="str">
        <x:v>اختيار هدف، ورد اليوم، تعويض مرن، متابعة القراءة والاستماع، تقدم واضح.</x:v>
      </x:c>
      <x:c r="E8" s="14" t="str">
        <x:v>يمكن بدء خطة وإكمال ورد واستئنافه خلال خطوات قليلة.</x:v>
      </x:c>
      <x:c r="F8" s="14" t="str">
        <x:v>D7/D30 retention، نسبة إكمال الورد، أيام النشاط الأسبوعية.</x:v>
      </x:c>
      <x:c r="G8" s="14" t="str">
        <x:v>محرك احتفاظ وتميّز واضح.</x:v>
      </x:c>
    </x:row>
    <x:row r="9" ht="39.599998474121094" hidden="0" customHeight="1">
      <x:c r="A9" s="14" t="str">
        <x:v>P1</x:v>
      </x:c>
      <x:c r="B9" s="14" t="str">
        <x:v>تكافؤ Android وiOS</x:v>
      </x:c>
      <x:c r="C9" s="14" t="str">
        <x:v>4 إشارات مباشرة لغياب الصوت/التفسير/التحديثات/تفاعل الآية على Android.</x:v>
      </x:c>
      <x:c r="D9" s="14" t="str">
        <x:v>Feature parity matrix وبوابة إصدار مشتركة للتجارب الأساسية.</x:v>
      </x:c>
      <x:c r="E9" s="14" t="str">
        <x:v>لا ميزة قرآن أساسية حصرية لمنصة دون خطة معلنة.</x:v>
      </x:c>
      <x:c r="F9" s="14" t="str">
        <x:v>انخفاض شكاوى المنصة؛ تقارب adoption بين النظامين.</x:v>
      </x:c>
      <x:c r="G9" s="14" t="str">
        <x:v>حماية العلامة وتقليل الاستياء.</x:v>
      </x:c>
    </x:row>
    <x:row r="10" ht="26.399999618530273" hidden="0" customHeight="1">
      <x:c r="A10" s="14" t="str">
        <x:v>P1</x:v>
      </x:c>
      <x:c r="B10" s="14" t="str">
        <x:v>ويدجت ورد اليوم وStreak رحيم</x:v>
      </x:c>
      <x:c r="C10" s="14" t="str">
        <x:v>طلبات صريحة لويدجت الختمة وتتبع أيام الالتزام.</x:v>
      </x:c>
      <x:c r="D10" s="14" t="str">
        <x:v>ويدجت ورد اليوم، التقدم، الصلاة القادمة، streak مع grace days.</x:v>
      </x:c>
      <x:c r="E10" s="14" t="str">
        <x:v>تحديث موثوق، فتح مباشر للورد، لا عقاب نفسي عند الانقطاع.</x:v>
      </x:c>
      <x:c r="F10" s="14" t="str">
        <x:v>Widget adoption، opens from widget، weekly active days.</x:v>
      </x:c>
      <x:c r="G10" s="14" t="str">
        <x:v>زيادة العودة اليومية.</x:v>
      </x:c>
    </x:row>
    <x:row r="11" ht="26.399999618530273" hidden="0" customHeight="1">
      <x:c r="A11" s="14" t="str">
        <x:v>P1</x:v>
      </x:c>
      <x:c r="B11" s="14" t="str">
        <x:v>واجهة Premium ومناسبة لكبار السن</x:v>
      </x:c>
      <x:c r="C11" s="14" t="str">
        <x:v>مدح للمظهر النظيف، وشكوى من UI قديم وإجهاد العين وصعوبة الضبط.</x:v>
      </x:c>
      <x:c r="D11" s="14" t="str">
        <x:v>خط عربي مريح، scaling، وضع ليلي، مساحات، onboarding قصير، أهداف لمس كبيرة.</x:v>
      </x:c>
      <x:c r="E11" s="14" t="str">
        <x:v>دعم text scale وRTL واختبارات قابلية الاستخدام.</x:v>
      </x:c>
      <x:c r="F11" s="14" t="str">
        <x:v>تحسن conversion وtask success وCSAT.</x:v>
      </x:c>
      <x:c r="G11" s="14" t="str">
        <x:v>تفوق بصري وتجربة أوسع.</x:v>
      </x:c>
    </x:row>
    <x:row r="12" ht="26.399999618530273" hidden="0" customHeight="1">
      <x:c r="A12" s="14" t="str">
        <x:v>P1</x:v>
      </x:c>
      <x:c r="B12" s="14" t="str">
        <x:v>شفافية الدفع مع الحفاظ على عدم الإعلانات</x:v>
      </x:c>
      <x:c r="C12" s="14" t="str">
        <x:v>4 شكاوى عن إعلانات/دعم متكرر/Paywall مفاجئ، ومدح صريح لعدم الإعلانات.</x:v>
      </x:c>
      <x:c r="D12" s="14" t="str">
        <x:v>تمييز المجاني والمدفوع قبل البدء، frequency cap، لا مقاطعة للعبادة، لا إعلانات.</x:v>
      </x:c>
      <x:c r="E12" s="14" t="str">
        <x:v>المستخدم يعرف التكلفة قبل الالتزام ولا يرى طلبًا بعد الشراء.</x:v>
      </x:c>
      <x:c r="F12" s="14" t="str">
        <x:v>انخفاض تقييمات monetization السلبية؛ conversion صحي.</x:v>
      </x:c>
      <x:c r="G12" s="14" t="str">
        <x:v>ميزة تسويقية وثقة أعلى.</x:v>
      </x:c>
    </x:row>
    <x:row r="13" ht="26.399999618530273" hidden="0" customHeight="1">
      <x:c r="A13" s="14" t="str">
        <x:v>P2</x:v>
      </x:c>
      <x:c r="B13" s="14" t="str">
        <x:v>دعم الروايات حسب السوق</x:v>
      </x:c>
      <x:c r="C13" s="14" t="str">
        <x:v>3 طلبات صريحة لورش/قالون، أحدها سبب للانتقال لمنافس.</x:v>
      </x:c>
      <x:c r="D13" s="14" t="str">
        <x:v>Data architecture متعددة الروايات، إطلاق مرحلي وفق البلد ومصدر معتمد.</x:v>
      </x:c>
      <x:c r="E13" s="14" t="str">
        <x:v>الرواية معتمدة ومختبرة ولا تختلط metadata بينها.</x:v>
      </x:c>
      <x:c r="F13" s="14" t="str">
        <x:v>تبني المغرب العربي وطلبات السوق.</x:v>
      </x:c>
      <x:c r="G13" s="14" t="str">
        <x:v>توسع جغرافي مستقبلي.</x:v>
      </x:c>
    </x:row>
    <x:row r="14" ht="26.399999618530273" hidden="0" customHeight="1">
      <x:c r="A14" s="14" t="str">
        <x:v>P2</x:v>
      </x:c>
      <x:c r="B14" s="14" t="str">
        <x:v>توسيع الأذكار من مصادر موثقة</x:v>
      </x:c>
      <x:c r="C14" s="14" t="str">
        <x:v>طلب إضافة محتوى يومي، مع وجود شكوى حرجة عن محتوى غير مناسب.</x:v>
      </x:c>
      <x:c r="D14" s="14" t="str">
        <x:v>حزم أذكار موثقة، مصدر ظاهر، عداد ومفضلة ومراجعة قبل النشر.</x:v>
      </x:c>
      <x:c r="E14" s="14" t="str">
        <x:v>كل عنصر له مرجع ومراجعة وإصدار بيانات.</x:v>
      </x:c>
      <x:c r="F14" s="14" t="str">
        <x:v>استخدام الأذكار وبلاغات المحتوى.</x:v>
      </x:c>
      <x:c r="G14" s="14" t="str">
        <x:v>زيادة القيمة اليومية دون التضحية بالثقة.</x:v>
      </x:c>
    </x:row>
  </x:sheetData>
  <x:mergeCells>
    <x:mergeCell ref="A1:G2"/>
  </x:mergeCells>
  <x:conditionalFormatting sqref="A5:A14">
    <x:cfRule type="expression" dxfId="9" priority="1">
      <x:formula>A5="P0"</x:formula>
    </x:cfRule>
    <x:cfRule type="expression" dxfId="10" priority="2">
      <x:formula>A5="P1"</x:formula>
    </x:cfRule>
    <x:cfRule type="expression" dxfId="11" priority="3">
      <x:formula>A5="P2"</x:formula>
    </x:cfRule>
  </x:conditionalFormatting>
  <x:pageMargins left="0.7" right="0.7" top="0.75" bottom="0.75" header="0.3" footer="0.3"/>
  <x:tableParts count="1">
    <x:tablePart xmlns:r="http://schemas.openxmlformats.org/officeDocument/2006/relationships" r:id="R92cbf83248324ea8"/>
  </x:tableParts>
</x:worksheet>
</file>

<file path=xl/worksheets/sheet5.xml><?xml version="1.0" encoding="utf-8"?>
<x:worksheet xmlns:x="http://schemas.openxmlformats.org/spreadsheetml/2006/main">
  <x:sheetFormatPr defaultRowHeight="15"/>
  <x:cols>
    <x:col min="1" max="1" width="10" hidden="0" customWidth="1"/>
    <x:col min="2" max="2" width="48" hidden="0" customWidth="1"/>
    <x:col min="3" max="3" width="30" hidden="0" customWidth="1"/>
    <x:col min="4" max="4" width="60" hidden="0" customWidth="1"/>
  </x:cols>
  <x:sheetData>
    <x:row r="1">
      <x:c r="A1" s="108" t="str">
        <x:v>مصادر لقطات الشاشة</x:v>
      </x:c>
      <x:c r="B1" s="108"/>
      <x:c r="C1" s="108"/>
      <x:c r="D1" s="108"/>
    </x:row>
    <x:row r="2">
      <x:c r="A2" s="108"/>
      <x:c r="B2" s="108"/>
      <x:c r="C2" s="108"/>
      <x:c r="D2" s="108"/>
    </x:row>
    <x:row r="4" ht="30" hidden="0" customHeight="1">
      <x:c r="A4" s="137" t="str">
        <x:v>المعرف</x:v>
      </x:c>
      <x:c r="B4" s="137" t="str">
        <x:v>اسم الملف</x:v>
      </x:c>
      <x:c r="C4" s="137" t="str">
        <x:v>النطاق الظاهر</x:v>
      </x:c>
      <x:c r="D4" s="137" t="str">
        <x:v>ملاحظات</x:v>
      </x:c>
    </x:row>
    <x:row r="5" ht="15" hidden="0" customHeight="1">
      <x:c r="A5" s="12" t="str">
        <x:v>S01</x:v>
      </x:c>
      <x:c r="B5" s="12" t="str">
        <x:v>Screenshot 2026-07-12 at 10.30.58 AM(1).png</x:v>
      </x:c>
      <x:c r="C5" s="12" t="str">
        <x:v>مراجعات ظاهرة في لقطة Google Play</x:v>
      </x:c>
      <x:c r="D5" s="12" t="str">
        <x:v>تم النسخ يدويًا بأفضل دقة ممكنة؛ بعض البطاقات ممتدة بين صورتين أو مقطوعة.</x:v>
      </x:c>
    </x:row>
    <x:row r="6" ht="15" hidden="0" customHeight="1">
      <x:c r="A6" s="12" t="str">
        <x:v>S02</x:v>
      </x:c>
      <x:c r="B6" s="12" t="str">
        <x:v>Screenshot 2026-07-12 at 10.31.27 AM(1).png</x:v>
      </x:c>
      <x:c r="C6" s="12" t="str">
        <x:v>مراجعات ظاهرة في لقطة Google Play</x:v>
      </x:c>
      <x:c r="D6" s="12" t="str">
        <x:v>تم النسخ يدويًا بأفضل دقة ممكنة؛ بعض البطاقات ممتدة بين صورتين أو مقطوعة.</x:v>
      </x:c>
    </x:row>
    <x:row r="7" ht="15" hidden="0" customHeight="1">
      <x:c r="A7" s="12" t="str">
        <x:v>S03</x:v>
      </x:c>
      <x:c r="B7" s="12" t="str">
        <x:v>Screenshot 2026-07-12 at 10.32.10 AM(1).png</x:v>
      </x:c>
      <x:c r="C7" s="12" t="str">
        <x:v>مراجعات ظاهرة في لقطة Google Play</x:v>
      </x:c>
      <x:c r="D7" s="12" t="str">
        <x:v>تم النسخ يدويًا بأفضل دقة ممكنة؛ بعض البطاقات ممتدة بين صورتين أو مقطوعة.</x:v>
      </x:c>
    </x:row>
    <x:row r="8" ht="15" hidden="0" customHeight="1">
      <x:c r="A8" s="12" t="str">
        <x:v>S04</x:v>
      </x:c>
      <x:c r="B8" s="12" t="str">
        <x:v>Screenshot 2026-07-12 at 10.32.23 AM(1).png</x:v>
      </x:c>
      <x:c r="C8" s="12" t="str">
        <x:v>مراجعات ظاهرة في لقطة Google Play</x:v>
      </x:c>
      <x:c r="D8" s="12" t="str">
        <x:v>تم النسخ يدويًا بأفضل دقة ممكنة؛ بعض البطاقات ممتدة بين صورتين أو مقطوعة.</x:v>
      </x:c>
    </x:row>
    <x:row r="9" ht="15" hidden="0" customHeight="1">
      <x:c r="A9" s="12" t="str">
        <x:v>S05</x:v>
      </x:c>
      <x:c r="B9" s="12" t="str">
        <x:v>Screenshot 2026-07-12 at 10.32.43 AM(1).png</x:v>
      </x:c>
      <x:c r="C9" s="12" t="str">
        <x:v>مراجعات ظاهرة في لقطة Google Play</x:v>
      </x:c>
      <x:c r="D9" s="12" t="str">
        <x:v>تم النسخ يدويًا بأفضل دقة ممكنة؛ بعض البطاقات ممتدة بين صورتين أو مقطوعة.</x:v>
      </x:c>
    </x:row>
    <x:row r="10" ht="15" hidden="0" customHeight="1">
      <x:c r="A10" s="12" t="str">
        <x:v>S06</x:v>
      </x:c>
      <x:c r="B10" s="12" t="str">
        <x:v>Screenshot 2026-07-12 at 10.33.04 AM(1).png</x:v>
      </x:c>
      <x:c r="C10" s="12" t="str">
        <x:v>مراجعات ظاهرة في لقطة Google Play</x:v>
      </x:c>
      <x:c r="D10" s="12" t="str">
        <x:v>تم النسخ يدويًا بأفضل دقة ممكنة؛ بعض البطاقات ممتدة بين صورتين أو مقطوعة.</x:v>
      </x:c>
    </x:row>
    <x:row r="11" ht="15" hidden="0" customHeight="1">
      <x:c r="A11" s="12" t="str">
        <x:v>S07</x:v>
      </x:c>
      <x:c r="B11" s="12" t="str">
        <x:v>Screenshot 2026-07-12 at 10.33.19 AM(1).png</x:v>
      </x:c>
      <x:c r="C11" s="12" t="str">
        <x:v>مراجعات ظاهرة في لقطة Google Play</x:v>
      </x:c>
      <x:c r="D11" s="12" t="str">
        <x:v>تم النسخ يدويًا بأفضل دقة ممكنة؛ بعض البطاقات ممتدة بين صورتين أو مقطوعة.</x:v>
      </x:c>
    </x:row>
    <x:row r="12" ht="15" hidden="0" customHeight="1">
      <x:c r="A12" s="12" t="str">
        <x:v>S08</x:v>
      </x:c>
      <x:c r="B12" s="12" t="str">
        <x:v>Screenshot 2026-07-12 at 10.33.43 AM(1).png</x:v>
      </x:c>
      <x:c r="C12" s="12" t="str">
        <x:v>مراجعات ظاهرة في لقطة Google Play</x:v>
      </x:c>
      <x:c r="D12" s="12" t="str">
        <x:v>تم النسخ يدويًا بأفضل دقة ممكنة؛ بعض البطاقات ممتدة بين صورتين أو مقطوعة.</x:v>
      </x:c>
    </x:row>
    <x:row r="13" ht="15" hidden="0" customHeight="1">
      <x:c r="A13" s="12" t="str">
        <x:v>S09</x:v>
      </x:c>
      <x:c r="B13" s="12" t="str">
        <x:v>Screenshot 2026-07-12 at 10.33.55 AM(1).png</x:v>
      </x:c>
      <x:c r="C13" s="12" t="str">
        <x:v>مراجعات ظاهرة في لقطة Google Play</x:v>
      </x:c>
      <x:c r="D13" s="12" t="str">
        <x:v>تم النسخ يدويًا بأفضل دقة ممكنة؛ بعض البطاقات ممتدة بين صورتين أو مقطوعة.</x:v>
      </x:c>
    </x:row>
    <x:row r="14" ht="15" hidden="0" customHeight="1">
      <x:c r="A14" s="12" t="str">
        <x:v>S10</x:v>
      </x:c>
      <x:c r="B14" s="12" t="str">
        <x:v>Screenshot 2026-07-12 at 10.34.05 AM(1).png</x:v>
      </x:c>
      <x:c r="C14" s="12" t="str">
        <x:v>مراجعات ظاهرة في لقطة Google Play</x:v>
      </x:c>
      <x:c r="D14" s="12" t="str">
        <x:v>تم النسخ يدويًا بأفضل دقة ممكنة؛ بعض البطاقات ممتدة بين صورتين أو مقطوعة.</x:v>
      </x:c>
    </x:row>
    <x:row r="15" ht="15" hidden="0" customHeight="1">
      <x:c r="A15" s="12" t="str">
        <x:v>S11</x:v>
      </x:c>
      <x:c r="B15" s="12" t="str">
        <x:v>Screenshot 2026-07-12 at 10.34.25 AM(1).png</x:v>
      </x:c>
      <x:c r="C15" s="12" t="str">
        <x:v>مراجعات ظاهرة في لقطة Google Play</x:v>
      </x:c>
      <x:c r="D15" s="12" t="str">
        <x:v>تم النسخ يدويًا بأفضل دقة ممكنة؛ بعض البطاقات ممتدة بين صورتين أو مقطوعة.</x:v>
      </x:c>
    </x:row>
    <x:row r="16" ht="15" hidden="0" customHeight="1">
      <x:c r="A16" s="12" t="str">
        <x:v>S12</x:v>
      </x:c>
      <x:c r="B16" s="12" t="str">
        <x:v>Screenshot 2026-07-12 at 10.34.38 AM(1).png</x:v>
      </x:c>
      <x:c r="C16" s="12" t="str">
        <x:v>مراجعات ظاهرة في لقطة Google Play</x:v>
      </x:c>
      <x:c r="D16" s="12" t="str">
        <x:v>تم النسخ يدويًا بأفضل دقة ممكنة؛ بعض البطاقات ممتدة بين صورتين أو مقطوعة.</x:v>
      </x:c>
    </x:row>
    <x:row r="17" ht="15" hidden="0" customHeight="1">
      <x:c r="A17" s="12" t="str">
        <x:v>S13</x:v>
      </x:c>
      <x:c r="B17" s="12" t="str">
        <x:v>Screenshot 2026-07-12 at 10.34.53 AM(1).png</x:v>
      </x:c>
      <x:c r="C17" s="12" t="str">
        <x:v>مراجعات ظاهرة في لقطة Google Play</x:v>
      </x:c>
      <x:c r="D17" s="12" t="str">
        <x:v>تم النسخ يدويًا بأفضل دقة ممكنة؛ بعض البطاقات ممتدة بين صورتين أو مقطوعة.</x:v>
      </x:c>
    </x:row>
    <x:row r="18" ht="15" hidden="0" customHeight="1">
      <x:c r="A18" s="12" t="str">
        <x:v>S14</x:v>
      </x:c>
      <x:c r="B18" s="12" t="str">
        <x:v>Screenshot 2026-07-12 at 10.35.09 AM(1).png</x:v>
      </x:c>
      <x:c r="C18" s="12" t="str">
        <x:v>مراجعات ظاهرة في لقطة Google Play</x:v>
      </x:c>
      <x:c r="D18" s="12" t="str">
        <x:v>تم النسخ يدويًا بأفضل دقة ممكنة؛ بعض البطاقات ممتدة بين صورتين أو مقطوعة.</x:v>
      </x:c>
    </x:row>
    <x:row r="19" ht="15" hidden="0" customHeight="1">
      <x:c r="A19" s="12" t="str">
        <x:v>S15</x:v>
      </x:c>
      <x:c r="B19" s="12" t="str">
        <x:v>Screenshot 2026-07-12 at 10.35.20 AM(1).png</x:v>
      </x:c>
      <x:c r="C19" s="12" t="str">
        <x:v>مراجعات ظاهرة في لقطة Google Play</x:v>
      </x:c>
      <x:c r="D19" s="12" t="str">
        <x:v>تم النسخ يدويًا بأفضل دقة ممكنة؛ بعض البطاقات ممتدة بين صورتين أو مقطوعة.</x:v>
      </x:c>
    </x:row>
    <x:row r="20" ht="15" hidden="0" customHeight="1">
      <x:c r="A20" s="12" t="str">
        <x:v>S16</x:v>
      </x:c>
      <x:c r="B20" s="12" t="str">
        <x:v>Screenshot 2026-07-12 at 10.35.56 AM.png</x:v>
      </x:c>
      <x:c r="C20" s="12" t="str">
        <x:v>مراجعات ظاهرة في لقطة Google Play</x:v>
      </x:c>
      <x:c r="D20" s="12" t="str">
        <x:v>تم النسخ يدويًا بأفضل دقة ممكنة؛ بعض البطاقات ممتدة بين صورتين أو مقطوعة.</x:v>
      </x:c>
    </x:row>
    <x:row r="21" ht="15" hidden="0" customHeight="1">
      <x:c r="A21" s="12" t="str">
        <x:v>S17</x:v>
      </x:c>
      <x:c r="B21" s="12" t="str">
        <x:v>Screenshot 2026-07-12 at 10.36.26 AM.png</x:v>
      </x:c>
      <x:c r="C21" s="12" t="str">
        <x:v>مراجعات ظاهرة في لقطة Google Play</x:v>
      </x:c>
      <x:c r="D21" s="12" t="str">
        <x:v>تم النسخ يدويًا بأفضل دقة ممكنة؛ بعض البطاقات ممتدة بين صورتين أو مقطوعة.</x:v>
      </x:c>
    </x:row>
    <x:row r="22" ht="15" hidden="0" customHeight="1">
      <x:c r="A22" s="12" t="str">
        <x:v>S18</x:v>
      </x:c>
      <x:c r="B22" s="12" t="str">
        <x:v>Screenshot 2026-07-12 at 10.36.37 AM.png</x:v>
      </x:c>
      <x:c r="C22" s="12" t="str">
        <x:v>مراجعات ظاهرة في لقطة Google Play</x:v>
      </x:c>
      <x:c r="D22" s="12" t="str">
        <x:v>تم النسخ يدويًا بأفضل دقة ممكنة؛ بعض البطاقات ممتدة بين صورتين أو مقطوعة.</x:v>
      </x:c>
    </x:row>
    <x:row r="23" ht="15" hidden="0" customHeight="1">
      <x:c r="A23" s="12" t="str">
        <x:v>S19</x:v>
      </x:c>
      <x:c r="B23" s="12" t="str">
        <x:v>Screenshot 2026-07-12 at 10.36.46 AM.png</x:v>
      </x:c>
      <x:c r="C23" s="12" t="str">
        <x:v>مراجعات ظاهرة في لقطة Google Play</x:v>
      </x:c>
      <x:c r="D23" s="12" t="str">
        <x:v>تم النسخ يدويًا بأفضل دقة ممكنة؛ بعض البطاقات ممتدة بين صورتين أو مقطوعة.</x:v>
      </x:c>
    </x:row>
  </x:sheetData>
  <x:mergeCells>
    <x:mergeCell ref="A1:D2"/>
  </x:mergeCells>
  <x:pageMargins left="0.7" right="0.7" top="0.75" bottom="0.75" header="0.3" footer="0.3"/>
  <x:tableParts count="1">
    <x:tablePart xmlns:r="http://schemas.openxmlformats.org/officeDocument/2006/relationships" r:id="R60687e64aea44f51"/>
  </x:tableParts>
</x:worksheet>
</file>